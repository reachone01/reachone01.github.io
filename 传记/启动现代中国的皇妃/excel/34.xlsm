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16" i="12"/>
  <c r="C15"/>
  <c r="C14"/>
  <c r="C13"/>
  <c r="C12"/>
  <c r="C11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<sst xmlns="http://schemas.openxmlformats.org/spreadsheetml/2006/main" count="44" uniqueCount="29">
  <si>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</si>
  <si>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</si>
  <si>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</si>
  <si>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</si>
  <si>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</si>
  <si>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</si>
  <si>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</si>
  <si>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</si>
  <si>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</si>
  <si>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</si>
  <si>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</si>
  <si>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</si>
  <si>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</si>
  <si>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</si>
  <si>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Archives Consulted</t>
  </si>
  <si>
    <t>Bodleian Library, Chinese Collection, Oxford, UK</t>
  </si>
  <si>
    <t>Cambridge University Library, Department of Manuscripts and University Archives, UK</t>
  </si>
  <si>
    <t>First Historical Archives of China, Beijing, China</t>
  </si>
  <si>
    <t>Freer Gallery of Art and Arthur M. Sackler Gallery Archives, Washington DC, USA</t>
  </si>
  <si>
    <t>French Ministry of Foreign Affairs, Centre des archives diplomatiques de Nantes, France</t>
  </si>
  <si>
    <t>Isabella Stewart Gardner Museum Archives, Boston, USA</t>
  </si>
  <si>
    <t>Italian Ministry of Foreign Affairs Archives, Rome, Italy</t>
  </si>
  <si>
    <t>Library of Congress, Washington DC, USA</t>
  </si>
  <si>
    <t>Museum of Fine Arts Archives, Jewell Collection, Boston, USA</t>
  </si>
  <si>
    <t>National Archives, London, UK</t>
  </si>
  <si>
    <t>National Palace Museum Archives, Taipei, Taiwan</t>
  </si>
  <si>
    <t>Royal Archives, Windsor, UK</t>
  </si>
  <si>
    <t>Royal Collection, Royal Library and Print Room, Windsor, UK</t>
  </si>
  <si>
    <t>Wellcome Library, Iconographic Collections, London, UK</t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</si>
</sst>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0"/>
      <color rgb="FF222D33"/>
      <name val="Microsoft Yahei"/>
      <family val="2"/>
    </font>
    <font>
      <sz val="13"/>
      <color theme="1"/>
      <name val="Microsoft Yahe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justify"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6"/>
  <sheetViews>
    <sheetView tabSelected="1" topLeftCell="B1" zoomScale="90" zoomScaleNormal="90" workbookViewId="0">
      <selection activeCell="C1" sqref="C1:C16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34</v>
      </c>
      <c r="C1" s="3" t="str">
        <f>CONCATENATE("&lt;div class='layout'&gt;&lt;p&gt;",A1,"&lt;/p&gt;","&lt;p&gt;",B1,"&lt;/p&gt;","&lt;/div&gt;")</f>
        <v>&lt;div class='layout'&gt;&lt;p&gt;34&lt;/p&gt;&lt;p&gt;&lt;/p&gt;&lt;/div&gt;</v>
      </c>
    </row>
    <row r="2" spans="1:3">
      <c r="A2" s="4" t="s">
        <v>14</v>
      </c>
      <c r="C2" s="3" t="str">
        <f t="shared" ref="C2:C16" si="0">CONCATENATE("&lt;div class='layout'&gt;&lt;p&gt;",A2,"&lt;/p&gt;","&lt;p&gt;",B2,"&lt;/p&gt;","&lt;/div&gt;")</f>
        <v>&lt;div class='layout'&gt;&lt;p&gt;Archives Consulted&lt;/p&gt;&lt;p&gt;&lt;/p&gt;&lt;/div&gt;</v>
      </c>
    </row>
    <row r="3" spans="1:3">
      <c r="A3" s="4" t="s">
        <v>15</v>
      </c>
      <c r="C3" s="3" t="str">
        <f t="shared" si="0"/>
        <v>&lt;div class='layout'&gt;&lt;p&gt;Bodleian Library, Chinese Collection, Oxford, UK&lt;/p&gt;&lt;p&gt;&lt;/p&gt;&lt;/div&gt;</v>
      </c>
    </row>
    <row r="4" spans="1:3" ht="34.799999999999997">
      <c r="A4" s="4" t="s">
        <v>16</v>
      </c>
      <c r="C4" s="3" t="str">
        <f t="shared" si="0"/>
        <v>&lt;div class='layout'&gt;&lt;p&gt;Cambridge University Library, Department of Manuscripts and University Archives, UK&lt;/p&gt;&lt;p&gt;&lt;/p&gt;&lt;/div&gt;</v>
      </c>
    </row>
    <row r="5" spans="1:3">
      <c r="A5" s="4" t="s">
        <v>17</v>
      </c>
      <c r="C5" s="3" t="str">
        <f t="shared" si="0"/>
        <v>&lt;div class='layout'&gt;&lt;p&gt;First Historical Archives of China, Beijing, China&lt;/p&gt;&lt;p&gt;&lt;/p&gt;&lt;/div&gt;</v>
      </c>
    </row>
    <row r="6" spans="1:3" ht="34.799999999999997">
      <c r="A6" s="4" t="s">
        <v>18</v>
      </c>
      <c r="C6" s="3" t="str">
        <f t="shared" si="0"/>
        <v>&lt;div class='layout'&gt;&lt;p&gt;Freer Gallery of Art and Arthur M. Sackler Gallery Archives, Washington DC, USA&lt;/p&gt;&lt;p&gt;&lt;/p&gt;&lt;/div&gt;</v>
      </c>
    </row>
    <row r="7" spans="1:3" ht="34.799999999999997">
      <c r="A7" s="4" t="s">
        <v>19</v>
      </c>
      <c r="C7" s="3" t="str">
        <f t="shared" si="0"/>
        <v>&lt;div class='layout'&gt;&lt;p&gt;French Ministry of Foreign Affairs, Centre des archives diplomatiques de Nantes, France&lt;/p&gt;&lt;p&gt;&lt;/p&gt;&lt;/div&gt;</v>
      </c>
    </row>
    <row r="8" spans="1:3">
      <c r="A8" s="4" t="s">
        <v>20</v>
      </c>
      <c r="C8" s="3" t="str">
        <f t="shared" si="0"/>
        <v>&lt;div class='layout'&gt;&lt;p&gt;Isabella Stewart Gardner Museum Archives, Boston, USA&lt;/p&gt;&lt;p&gt;&lt;/p&gt;&lt;/div&gt;</v>
      </c>
    </row>
    <row r="9" spans="1:3">
      <c r="A9" s="4" t="s">
        <v>21</v>
      </c>
      <c r="C9" s="3" t="str">
        <f t="shared" si="0"/>
        <v>&lt;div class='layout'&gt;&lt;p&gt;Italian Ministry of Foreign Affairs Archives, Rome, Italy&lt;/p&gt;&lt;p&gt;&lt;/p&gt;&lt;/div&gt;</v>
      </c>
    </row>
    <row r="10" spans="1:3">
      <c r="A10" s="4" t="s">
        <v>22</v>
      </c>
      <c r="C10" s="3" t="str">
        <f t="shared" si="0"/>
        <v>&lt;div class='layout'&gt;&lt;p&gt;Library of Congress, Washington DC, USA&lt;/p&gt;&lt;p&gt;&lt;/p&gt;&lt;/div&gt;</v>
      </c>
    </row>
    <row r="11" spans="1:3" ht="34.799999999999997">
      <c r="A11" s="4" t="s">
        <v>23</v>
      </c>
      <c r="C11" s="3" t="str">
        <f t="shared" si="0"/>
        <v>&lt;div class='layout'&gt;&lt;p&gt;Museum of Fine Arts Archives, Jewell Collection, Boston, USA&lt;/p&gt;&lt;p&gt;&lt;/p&gt;&lt;/div&gt;</v>
      </c>
    </row>
    <row r="12" spans="1:3">
      <c r="A12" s="4" t="s">
        <v>24</v>
      </c>
      <c r="C12" s="3" t="str">
        <f t="shared" si="0"/>
        <v>&lt;div class='layout'&gt;&lt;p&gt;National Archives, London, UK&lt;/p&gt;&lt;p&gt;&lt;/p&gt;&lt;/div&gt;</v>
      </c>
    </row>
    <row r="13" spans="1:3">
      <c r="A13" s="4" t="s">
        <v>25</v>
      </c>
      <c r="C13" s="3" t="str">
        <f t="shared" si="0"/>
        <v>&lt;div class='layout'&gt;&lt;p&gt;National Palace Museum Archives, Taipei, Taiwan&lt;/p&gt;&lt;p&gt;&lt;/p&gt;&lt;/div&gt;</v>
      </c>
    </row>
    <row r="14" spans="1:3">
      <c r="A14" s="4" t="s">
        <v>26</v>
      </c>
      <c r="C14" s="3" t="str">
        <f t="shared" si="0"/>
        <v>&lt;div class='layout'&gt;&lt;p&gt;Royal Archives, Windsor, UK&lt;/p&gt;&lt;p&gt;&lt;/p&gt;&lt;/div&gt;</v>
      </c>
    </row>
    <row r="15" spans="1:3" ht="34.799999999999997">
      <c r="A15" s="4" t="s">
        <v>27</v>
      </c>
      <c r="C15" s="3" t="str">
        <f t="shared" si="0"/>
        <v>&lt;div class='layout'&gt;&lt;p&gt;Royal Collection, Royal Library and Print Room, Windsor, UK&lt;/p&gt;&lt;p&gt;&lt;/p&gt;&lt;/div&gt;</v>
      </c>
    </row>
    <row r="16" spans="1:3">
      <c r="A16" s="4" t="s">
        <v>28</v>
      </c>
      <c r="C16" s="3" t="str">
        <f t="shared" si="0"/>
        <v>&lt;div class='layout'&gt;&lt;p&gt;Wellcome Library, Iconographic Collections, London, UK&lt;/p&gt;&lt;p&gt;&lt;/p&gt;&lt;/div&gt;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5"/>
  <sheetViews>
    <sheetView workbookViewId="0"/>
  </sheetViews>
  <sheetFormatPr defaultRowHeight="14.4"/>
  <cols>
    <col min="1" max="1" width="125" customWidth="1"/>
  </cols>
  <sheetData>
    <row r="1" spans="1:1" ht="19.8">
      <c r="A1" s="7" t="s">
        <v>14</v>
      </c>
    </row>
    <row r="2" spans="1:1" ht="15">
      <c r="A2" s="8" t="s">
        <v>15</v>
      </c>
    </row>
    <row r="3" spans="1:1" ht="15">
      <c r="A3" s="8" t="s">
        <v>16</v>
      </c>
    </row>
    <row r="4" spans="1:1" ht="15">
      <c r="A4" s="8" t="s">
        <v>17</v>
      </c>
    </row>
    <row r="5" spans="1:1" ht="15">
      <c r="A5" s="8" t="s">
        <v>18</v>
      </c>
    </row>
    <row r="6" spans="1:1" ht="15">
      <c r="A6" s="8" t="s">
        <v>19</v>
      </c>
    </row>
    <row r="7" spans="1:1" ht="15">
      <c r="A7" s="8" t="s">
        <v>20</v>
      </c>
    </row>
    <row r="8" spans="1:1" ht="15">
      <c r="A8" s="8" t="s">
        <v>21</v>
      </c>
    </row>
    <row r="9" spans="1:1" ht="15">
      <c r="A9" s="8" t="s">
        <v>22</v>
      </c>
    </row>
    <row r="10" spans="1:1" ht="15">
      <c r="A10" s="8" t="s">
        <v>23</v>
      </c>
    </row>
    <row r="11" spans="1:1" ht="15">
      <c r="A11" s="8" t="s">
        <v>24</v>
      </c>
    </row>
    <row r="12" spans="1:1" ht="15">
      <c r="A12" s="8" t="s">
        <v>25</v>
      </c>
    </row>
    <row r="13" spans="1:1" ht="15">
      <c r="A13" s="8" t="s">
        <v>26</v>
      </c>
    </row>
    <row r="14" spans="1:1" ht="15">
      <c r="A14" s="8" t="s">
        <v>27</v>
      </c>
    </row>
    <row r="15" spans="1:1" ht="15">
      <c r="A15" s="8" t="s">
        <v>28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2021-10-11T14:34:19Z</dcterms:modified>
</cp:coreProperties>
</file>