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encn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/>
</workbook>
</file>

<file path=xl/calcChain.xml><?xml version="1.0" encoding="utf-8"?>
<calcChain xmlns="http://schemas.openxmlformats.org/spreadsheetml/2006/main">
  <c r="C325" i="12"/>
  <c r="C324"/>
  <c r="C323"/>
  <c r="C322"/>
  <c r="C321"/>
  <c r="C320"/>
  <c r="C319"/>
  <c r="C318"/>
  <c r="C317"/>
  <c r="C316"/>
  <c r="C315"/>
  <c r="C314"/>
  <c r="C313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C4" i="20"/>
  <c r="B3"/>
  <c r="C2"/>
  <c r="B1"/>
  <c r="C1" i="12"/>
</calcChain>
</file>

<file path=xl/sharedStrings.xml><?xml version="1.0" encoding="utf-8"?>
<sst xmlns="http://schemas.openxmlformats.org/spreadsheetml/2006/main" count="662" uniqueCount="347">
  <si>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</si>
  <si>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</si>
  <si>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</si>
  <si>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</si>
  <si>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</si>
  <si>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</si>
  <si>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</si>
  <si>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</si>
  <si>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</si>
  <si>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</si>
  <si>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</si>
  <si>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</si>
  <si>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</si>
  <si>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</si>
  <si>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t>Notes</t>
  </si>
  <si>
    <t>Chapter 1: The Rise of the Father of China</t>
  </si>
  <si>
    <t>despoiling the North God: Chan, Luke and Taylor, Betty Tebbetts, pp. 3, 12–13, 147–8</t>
  </si>
  <si>
    <t>1884: registered at the Central School, marriage to Mu-zhen, baptised: Sun, Victor, pp. 86–7, 98–9; Hager, Charles R., pp. 382–3; changed his name to Yat-sen: Sun Yat-sen (Chen Xi-qi et al. eds.), vol. 1, p. 36; did not believe in God: Shanghai Managing Committee of the Historical Objects of Sun Yat-sen and Soong Ching-ling ed., vol. 1, p. 265; Epstein, Israel, pp. 42–3; at Hong Kong College of Medicine for Chinese: Sun Yat-sen (Chen Xi-qi et al. eds.), vol. 1, pp. 46–7; Chen Shao-bai, p. 5; diploma not recognised: Schiffrin, Harold Z., p. 30, Sheng Yong-hua et al. eds., p. 70</t>
  </si>
  <si>
    <t>Soong Charlie and Sun: Sun Yat-sen, Collected Works, Chapter 8 of The Sun Theory, 1919/06, http://sunology.culture.tw/cgibin/gs32/s1gsweb.cgi?o=dcorpusands=id=%22CS0000000030%22.andsearchmode=basic [inactive]; Letter to Li Xiao-sheng, 1912/04/14, http://sunology.culture.tw/cgibin/gs32/s1gsweb.cgi?o=dcorpus&amp;s=id=%22TG0000001329%22.andsearchmode=basic [inactive]</t>
  </si>
  <si>
    <t>Sun fleeing Canton: Deng Mu-han; cf. Wong, J. Y. 2012, pp. 587–93; Chen Shao-bai, pp. 29–30; newspapers blasted him: Wong, J. Y. 2012, pp. 574, 578</t>
  </si>
  <si>
    <t>Dr James Cantlie: Cantlie, Neil and Seaver, George, pp. xxv, xxviii; Cantlie, James and Sheridan, Charles Jones, p, 18; interview with his grandson Hugh Cantlie, 12 April 2016</t>
  </si>
  <si>
    <t>Dr Patrick Manson: The National Archives, London, UK, FO 17/1718, p. 122</t>
  </si>
  <si>
    <t>note Luo Jia-lun, pp. 53, 61</t>
  </si>
  <si>
    <t>Triad revolt 1900: Yang Tian-shi 2007, pp. 221–5, pp. 212–13; Sun Yat-sen (Chen Xi-qi et al. eds.), vol. 1, pp. 232, 244–9; Hsu Chieh-lin, pp. 21–4</t>
  </si>
  <si>
    <t>colleagues accused him: Yang Tian-shi 2007, pp. 272–312; Sun Yat-sen (Chen Xi-qi et al. eds.), vol. 1, pp. 469–76; New York Times observed: New York Times, 2 October 1910</t>
  </si>
  <si>
    <t>he told the newspapers: Sun Yat-sen (Chen Xi-qi et al. eds.), vol. 1, pp. 558–9, 568; Sun cabled Huang: Sun Yat-sen (Chen Xi-qi et al. eds.), vol. 1, p. 557; He also claimed: Sun Yat-sen (Chen Xi-qi et al. eds.), vol. 1, pp. 558–9, 590–9; Zhang Tai-yan, p. 18</t>
  </si>
  <si>
    <t>Chapter 2: Soong Charlie: A Methodist Preacher and a Secret Revolutionary</t>
  </si>
  <si>
    <t>Charlie born in 1861: Shanghai Managing Committee of the Historical Objects of Sun Yat-sen and Soong Ching-ling, and Shanghai Association for Soong Ching-ling Studies eds. 2013a, p. 1; about fourteen years old: Fifth Avenue United Methodist Church Archives</t>
  </si>
  <si>
    <t>comments about Charlie: Burke, James, p. 13; Haag, E. A., pp. 30–1</t>
  </si>
  <si>
    <t>May-ling remembered: Soong May-ling 1955, p. 34; Observations of Charlie: Haag, E. A., pp. 48–9</t>
  </si>
  <si>
    <t>Allen to Bishop McTyeire: Burke, James, pp. 31–2</t>
  </si>
  <si>
    <t>dealing with Allen: Shanghai Managing Committee of the Historical Objects of Sun Yat-sen and Soong Ching-ling ed., vol. 2, pp. 288–9; other problems confronting Charlie: Shanghai Managing Committee of the Historical Objects of Sun Yat-sen and Soong Ching-ling ed., vol. 2, p. 288–90; Haag, E. A., p. 91; Burke, James, pp. 32–3</t>
  </si>
  <si>
    <t>Ei-ling to McTyeire School: Hahn, Emily 2014b, pp. 22–9</t>
  </si>
  <si>
    <t>May-ling childhood: Hahn, Emily 2014b, pp. 35–6</t>
  </si>
  <si>
    <t>Family life: Hahn, Emily 2014b, pp. 22–6, 40; Burke, James, p. 161; Soong May-ling 1934, p. 131</t>
  </si>
  <si>
    <r>
      <t>Ei-ling journey to America</t>
    </r>
    <r>
      <rPr>
        <sz val="8"/>
        <color rgb="FF222D33"/>
        <rFont val="Microsoft Yahei"/>
        <family val="2"/>
      </rPr>
      <t>: Burke, James, pp. 157–68; Clark, Elmer T., pp. 46–8; Hahn, Emily 2014b, p. 42; </t>
    </r>
    <r>
      <rPr>
        <sz val="11"/>
        <color rgb="FF0B4085"/>
        <rFont val="Microsoft Yahei"/>
        <family val="2"/>
      </rPr>
      <t>http://www.wesleyancollege.edu/about/soongsisters.cfm</t>
    </r>
  </si>
  <si>
    <t>one from Fujian: CPPCC 1981, vol. 6, p. 250; Tao Cheng-zhang: Yang Tian-shi 2007, pp. 298–9; Yang Tian-shi 2008, vol. 1, pp. 3–12; Chiang Kai-shek (The Second Historical Archives of China ed.), pp. 17–18</t>
  </si>
  <si>
    <t>Huang Xing, and the assassin: Huang Xing (Mao Zhu-qing ed.), pp. 181–5, 237–8; Miyazaki, To¯ten 1977, pp. 53–63</t>
  </si>
  <si>
    <t>failed to move capital to Nanjing: Gu Li-juan and Yuan Xiang-fu, vol. 1, pp. 188–92; CPPCC 1981, vol. 1, pp. 119–20</t>
  </si>
  <si>
    <t>Ei-ling deferential towards Mu-zhen: Huang San-de, p. 8; Luke Chan helped Sun family: Shang Ming-xuan et al. eds., pp. 518; Chan, Luke and Taylor, Betty Tebbetts, p. 22; cf. Wong, J. Y. 2012, pp. 552–4; Friends heard him say: Miyazaki, To¯ten 1977, pp. 30, 130</t>
  </si>
  <si>
    <t>Cui-fen: Sun, Victor, pp. 344, 407–21; Miyazaki, To¯ten 1977, p. 130; Huang San-de, p. 8</t>
  </si>
  <si>
    <t>Sun vetoed Ah Mi nomination: Sun, Victor, pp. 289–91</t>
  </si>
  <si>
    <t>Chapter 4: China Embarks on Democracy</t>
  </si>
  <si>
    <t>Lord William Gascoyne-Cecil: Gascoyne-Cecil, Lord William, p. 274</t>
  </si>
  <si>
    <t>Donald described: Selle, Earl Albert, pp. 135–6; Yuan countered: Sun Yat-sen (Chen Xi-qi et al. eds.), vol. 1, pp. 757–8, 782</t>
  </si>
  <si>
    <t>Mu-zhen car accident: Chen Peng Jen, pp. 107–8; Sun Yat-sen (Chen Xi-qi et al. eds.), vol. 1, pp. 784–7</t>
  </si>
  <si>
    <t>Chapter 5: The Marriages of Ei-ling and Ching-ling</t>
  </si>
  <si>
    <t>Parents against marriage: Shanghai Managing Committee of the Historical Objects of Sun Yat-sen and Soong Ching-ling ed., vol. 2, p. 295; Epstein, Israel, pp. 38–9</t>
  </si>
  <si>
    <t>Japanese surveillance records: Yu Xin-chun and Wang Zhen-suo eds., pp. 466–7</t>
  </si>
  <si>
    <t>Ching-ling wedding: Shanghai Managing Committee of the Historical Objects of Sun Yat-sen and Soong Ching-ling ed., vol. 4, pp. 101–5; Yu Xin-chun and Wang Zhen-suo eds., pp. 78–80; Epstein, Israel, pp. 40–3; Yu Xin-chun and Wang Zhen-suo eds., p. 467; Rosholt, Malcolm, p. 116</t>
  </si>
  <si>
    <t>to Israel Epstein: Epstein, Israel, p. 41; Charlie never forgave Sun: Lo Hui-Min, vol. 2, pp. 477–9; Shanghai Managing Committee of the Historical Objects of Sun Yat-sen and Soong Ching-ling ed., vol. 2, p. 295; Burke, James, p. 181</t>
  </si>
  <si>
    <r>
      <t>The assassination of Chen</t>
    </r>
    <r>
      <rPr>
        <sz val="8"/>
        <color rgb="FF222D33"/>
        <rFont val="Microsoft Yahei"/>
        <family val="2"/>
      </rPr>
      <t>: Chen Qi-mei (Mo Yong-ming and Fan Ran eds.), pp. 426ff; Sun Yat-sen, </t>
    </r>
    <r>
      <rPr>
        <i/>
        <sz val="8"/>
        <color rgb="FF222D33"/>
        <rFont val="Microsoft Yahei"/>
        <family val="2"/>
      </rPr>
      <t>Collected Works,</t>
    </r>
    <r>
      <rPr>
        <sz val="8"/>
        <color rgb="FF222D33"/>
        <rFont val="Microsoft Yahei"/>
        <family val="2"/>
      </rPr>
      <t> letter to Huang Xing, 1916/05/20, </t>
    </r>
    <r>
      <rPr>
        <sz val="11"/>
        <color rgb="FF0B4085"/>
        <rFont val="Microsoft Yahei"/>
        <family val="2"/>
      </rPr>
      <t>http://sunology.culture.tw/cgi-bin/gs32/s1gsweb.cgi?o=dcorpus&amp;s=id=%22TG0000001707%22.&amp;searchmode=basic</t>
    </r>
  </si>
  <si>
    <r>
      <t>After he was shot dead</t>
    </r>
    <r>
      <rPr>
        <sz val="8"/>
        <color rgb="FF222D33"/>
        <rFont val="Microsoft Yahei"/>
        <family val="2"/>
      </rPr>
      <t>: Chiang Kai-shek (Chin Hsiao-i ed.), vol. 1, pp. 22–3; Sun Yat-sen, </t>
    </r>
    <r>
      <rPr>
        <i/>
        <sz val="8"/>
        <color rgb="FF222D33"/>
        <rFont val="Microsoft Yahei"/>
        <family val="2"/>
      </rPr>
      <t>Collected Works</t>
    </r>
    <r>
      <rPr>
        <sz val="8"/>
        <color rgb="FF222D33"/>
        <rFont val="Microsoft Yahei"/>
        <family val="2"/>
      </rPr>
      <t>, cable of condolences to the family of Chen Qui-mei, 1916/05, </t>
    </r>
    <r>
      <rPr>
        <sz val="11"/>
        <color rgb="FF0B4085"/>
        <rFont val="Microsoft Yahei"/>
        <family val="2"/>
      </rPr>
      <t>http://sunology.culture.tw/cgi-bin/gs32/s1gsweb.cgi?o=dcorpus&amp;s=id=%22TG0000001718%22.&amp;searchmode=basic</t>
    </r>
    <r>
      <rPr>
        <sz val="8"/>
        <color rgb="FF222D33"/>
        <rFont val="Microsoft Yahei"/>
        <family val="2"/>
      </rPr>
      <t>; request for a state burial for Chen Qi-mei, 1916/05, </t>
    </r>
    <r>
      <rPr>
        <sz val="11"/>
        <color rgb="FF0B4085"/>
        <rFont val="Microsoft Yahei"/>
        <family val="2"/>
      </rPr>
      <t>http://sunology.culture.tw/cgi-bin/gs32/s1gsweb.cgi?o=dcorpus&amp;s=id=%22TG0000001794%22.&amp;searchmode=basic</t>
    </r>
    <r>
      <rPr>
        <sz val="8"/>
        <color rgb="FF222D33"/>
        <rFont val="Microsoft Yahei"/>
        <family val="2"/>
      </rPr>
      <t>; </t>
    </r>
    <r>
      <rPr>
        <b/>
        <sz val="8"/>
        <color rgb="FF222D33"/>
        <rFont val="Microsoft Yahei"/>
        <family val="2"/>
      </rPr>
      <t>Ching-ling jumped onto next ship</t>
    </r>
    <r>
      <rPr>
        <sz val="8"/>
        <color rgb="FF222D33"/>
        <rFont val="Microsoft Yahei"/>
        <family val="2"/>
      </rPr>
      <t>: Soong Ching-ling (Shang Ming-xuan et al. eds.), vol. 1, pp. 89–90</t>
    </r>
  </si>
  <si>
    <t>Chapter 6: To Become Mme Sun</t>
  </si>
  <si>
    <t>Germany money to Sun: Li Guo-qi, pp. 325–6; Wilbur, C. Martin, pp. 93–4; Tang Rui-xiang, pp. 10–13</t>
  </si>
  <si>
    <t>note Wilbur, C. Martin, pp. 93–4</t>
  </si>
  <si>
    <t>Major Magruder observed: 1 March 1921, microfilm publication M329, Records of the Department of State Relating to Internal Affairs of China, 1910–1929, Roll 26, file number: 893.00/3811–3975; Major Philean: 28 April 1922, microfilm publication M329, Records of the Department of State Relating to Internal Affairs of China, 1910–1929, Roll 29, file number: 893.00/4241–4440</t>
  </si>
  <si>
    <t>Emma Mills wrote: DeLong, Thomas A., pp. 52–3; Snow recorded: Snow, Edgar, p. 88</t>
  </si>
  <si>
    <t>Ching-ling government scholarship: Zhang Hai-lin, pp. 354–5</t>
  </si>
  <si>
    <t>Borodin told the Kremlin: Huang Xiu-rong et al. eds., 1920–1925, pp. 567–8; Japanese government rejected Sun: Sun Yat-sen (Chen Xi-qi et al. eds.), vol. 2, pp. 2072–3</t>
  </si>
  <si>
    <t>Sun illness and pain: Huang Xiu-rong et al. eds., 1920–1925, p. 568; Sun Yat-sen (Chen Xi-qi et al. eds.), vol. 2, p. 2089; Shang Ming-xuan et al. eds., p. 649; Ching-ling to Allie: Rosholt, Malcolm, p. 120</t>
  </si>
  <si>
    <t>she was seen weeping: Shang Ming-xuan et al. eds., p. 650; Sun Yat-sen (Chen Xu-lu and Hao Sheng-chao eds.), p. 325; their last conversation: Lee Yung, in Shang Ming-xuan et al. eds., p. 650</t>
  </si>
  <si>
    <r>
      <t>Ei-ling and May-ling to Beijing</t>
    </r>
    <r>
      <rPr>
        <sz val="8"/>
        <color rgb="FF222D33"/>
        <rFont val="Microsoft Yahei"/>
        <family val="2"/>
      </rPr>
      <t>: May-ling to Liao Cheng-zhi, 1982–8–17, </t>
    </r>
    <r>
      <rPr>
        <sz val="11"/>
        <color rgb="FF0B4085"/>
        <rFont val="Microsoft Yahei"/>
        <family val="2"/>
      </rPr>
      <t>https://www.bannedbook.org/bnews/zh-tw/lishi/20120916/664998.html</t>
    </r>
  </si>
  <si>
    <t>Chapter 8: Shanghai Ladies</t>
  </si>
  <si>
    <t>all other quotes of May-ling to Emma: 16 August 1917, 6 September 1917, 13 September 1917, 15 September 1917, 26 October 1917, 4 November 1917, 12 November 1917, 7 December 1917, 15 December 1917, 28 December 1917; 13 January 1918, 8 February 1918, 6 March 1918, 19 March 1918, 11 April 1918, 25 April 1918, 26 April 1918, 29 April 1918, 15 May 1918, 18 July 1918, 29 July 1918, 2 August 1918, 24 August 1918, 2 September 1918, 20 September 1918; 7 January 1919, 9 April 1919, 25 May 1919, 24 July 1919, 9 September 1919, 29 September 1919, 18 November 1919; 11 February 1920, 28 February 1920, 21 March 1920, 5 September 1920, 11 October 1920; 28 April 1921, 25 May 1921, 6 July 1921, 25 July 1921; Papers of Emma DeLong Mills, MSS.2, Wellesley College Archives</t>
  </si>
  <si>
    <t>lifelong regret for May-ling: Chiang Ching-kuo (Zhou Mei-hua and Xiao Li-ju eds.), vol. 1, p. 366</t>
  </si>
  <si>
    <t>about five foot three: interviews with Dr Jan Kung-ming, physician who treated May-ling in her last years; Chen Li-wen ed. 2014, p. 149</t>
  </si>
  <si>
    <t>Chapter 9: May-ling Meets the Generalissimo</t>
  </si>
  <si>
    <t>Chiang smokescreen: Chiang Kai-shek (The Second Historical Archives of China ed.), pp. 538–9; Yang Tian-shi 2008, vol. 1, pp. 130–1; Yang Tian-shi 2010, p. 337; Russians misreading Chiang: Huang Xiu-rong et al. eds., 1926–1927, vol. 1, pp. 169–88; Chiang Kai-shek (The Second Historical Archives of China ed.), pp. 528, 536–7, 540, 554</t>
  </si>
  <si>
    <t>Ei-ling considered grande dame: 6 July 1921, Papers of Emma DeLong Mills, MSS.2, Wellesley College Archives; May-ling to Emma: 12 Nov.1917, Papers of Emma DeLong Mills, MSS.2, Wellesley College Archives</t>
  </si>
  <si>
    <t>May-ling gave Chiang her address: Yang Tian-shi 2010, p. 340; Chiang wrote in his diary: 2 July 1926, Chiang Kai-shek Diaries, Hoover Institution Archives; Ei-ling and T.V. reaction: Yang Tian-shi 2010, p. 341; Lu Fang-shang ed., p. 60</t>
  </si>
  <si>
    <t>Vincent Sheean observed: Sheean, Vincent, pp. 218–19</t>
  </si>
  <si>
    <t>Chiang talks with Big Sister: 11 and 21 December 1927, Chiang diaries, Hoover Institution Archives; Chiang on Duan Qi-rui: Chiang Kai-shek (Chin Hsiao-i ed.), vol. 3, p. 996; Ei-ling told Chiang off: 28 December 1927, Chiang diaries, Hoover Institution Archives; people close to them testify: e.g. Wu Kuo-Cheng, p. 15</t>
  </si>
  <si>
    <t>Chapter 10: Married to a Beleaguered Dictator</t>
  </si>
  <si>
    <t>note Koo, V.K. Wellington, Columbia University Archives, Vol. 3, Part 2, Sect. H, J, p. 305</t>
  </si>
  <si>
    <t>Assassination attempts and May-ling miscarriage: 24 August–6 September 1929, Chiang Kai-shek Diaries, Hoover Institution Archives; Oursler, Fulton, pp. 350–3; New York Times, 7 September 1929; yet another nightmare: Chen Li-wen ed. 2014, pp. 24–5</t>
  </si>
  <si>
    <t>May-ling in Big War of Central China: Chiang Kai-shek: Family Correspondence, 1930; Yang Tian-shi 2010, pp. 357–8; payments to the Young Marshal: May-ling to Chiang, 19 September 1930, Chiang Kai-shek: Family Correspondence; Koo, V.K. Wellington, Columbia University Archives, Vol. 3, Part 1, Sect. E – G, p. 141; Koo, V.K. Wellington 2013, pp. 299–300; Yang Tian-shi 2010, pp. 357–8</t>
  </si>
  <si>
    <t>note Shou Chong-yi ed., p. 42; Snow, Edgar, p. 95</t>
  </si>
  <si>
    <t>May-ling wrote in 1934: Soong May-ling (Madame Chiang Kai-shek) 1934, pp. 131–3; when Mrs Soong died: Soong May-ling (Madame Chiang Kai-shek) 1955, pp. 10–11; cf. Chiang Kai-shek: Family Correspondence, 1931–2; Shanghai Managing Committee of the Historical Objects of Sun Yat-sen and Soong Ching-ling, and Shanghai Association for Soong Ching-ling Studies eds., 2013a, p. 127</t>
  </si>
  <si>
    <t>assassination attempt on T.V.: Han Li-guan and Chen Li-ping, pp. 53–70; North China Herald, 23 July 1931</t>
  </si>
  <si>
    <t>Chapter 11: Ching-ling in Exile: Moscow, Berlin, Shanghai</t>
  </si>
  <si>
    <t>Vincent Sheean on T.V.: Sheean, Vincent, pp. 194–5</t>
  </si>
  <si>
    <t>Borodin was also staying: Zhang Ke, in Shanghai Managing Committee of the Historical Objects of Sun Yat-sen and Soong Ching-ling, and Shanghai Association for Soong Ching-ling Studies eds. 2013b, p. 629; Epstein, Israel, pp. 206, 219</t>
  </si>
  <si>
    <t>Ching-ling loved Moscow: Epstein, Israel, pp. 213, 224; Soong Ching-ling (Soong Ching-ling Foundation and China Welfare eds.), vol. 1, p. 60; Snow, Edgar, p. 94; New York Times report: New York Times, 29 September 1927; Epstein, Israel, p. 207; Sheean, Vincent, p. 289</t>
  </si>
  <si>
    <t>Ching-ling in Berlin: Soong Ching-ling (Soong Ching-ling Foundation and China Welfare eds.), vol. 1, pp. 58–9; Epstein, Israel, pp. 219ff; Shanghai Managing Committee of the Historical Objects of Sun Yat-sen and Soong Ching-ling ed., vol. 1, pp. 136–50; Liu Jia-quan, pp. 56–62; Mei Ri-xin and Deng Yan-chao eds., pp. 301–4; letter to mother: Shanghai postmark 4 July 1928 (owner of this letter wishes to remain anonymous); never felt so at home: Soong Ching-ling (Soong Ching-ling Foundation and China Welfare eds.), vol. 1, p. 58</t>
  </si>
  <si>
    <t>Yan-da about wife: Deng Yan-da (Mei Ri-xin and Deng Yan-chao eds.), pp. 452, 459, 472, 480</t>
  </si>
  <si>
    <t>piece attacking Chiang: Hahn, Emily 2014b, pp. 138–9; Shanghai Managing Committee of the Historical Objects of Sun Yat-sen and Soong Ching-ling ed., vol. 2, pp. 112–14; vol. 3, p. 199; she wished to be in a country: Soong Ching-ling (Soong Ching-ling Foundation and China Welfare eds.), vol. 1, p. 66; with German Communists: Liu Jia-quan, pp. 146–8, 156–9, 179; Soong Ching-ling (Soong Ching-ling Foundation and China Welfare eds.), vol. 1, pp. 68–9</t>
  </si>
  <si>
    <t>telegrams from her family: Soong Ching-ling (Shanghai Soong Ching-ling Memorial Residence ed.), pp. 27–8</t>
  </si>
  <si>
    <t>Chapter 12: The Husband and Wife Team</t>
  </si>
  <si>
    <t>talk to Chiang about Ching-kuo release: Chiang Kai-shek (Chin Hsiao-i ed.), vol. 2, pp. 334–5</t>
  </si>
  <si>
    <t>Ching-kuo in Russia: Chiang Ching-kuo, in Cline, Ray S.; Qi Gao-ru, pp. 7–9, 13–14, 365</t>
  </si>
  <si>
    <t>Ei-ling suggestion and Chiang decision: 1 November 1930, Chiang Kai-shek Diaries, Hoover Institution Archives; Chiang Kai-shek (Chin Hsiao-i ed.), vol. 2, p. 335</t>
  </si>
  <si>
    <t>Kung–Bogomolov: DVP, vol. 18 (1935), p. 438; Chiang saw Bogomolov: DVP, vol. 18 (1935), pp. 537–9; Chen Li-fu, interview, 15 February 1993; AVPRF, 0100/20/184/11, pp. 11, 14–15</t>
  </si>
  <si>
    <t>May-ling spoke to Chinese ambassador: Jiang Ting-fu, p. 203; descriptions of Young Marshal: Leonard, Royal, p. 21; Tuchman, Barbara W., p. 196</t>
  </si>
  <si>
    <t>Young Marshal–CCP–Moscow: Chang, Jung and Halliday, Jon, Chapters 16 and 17</t>
  </si>
  <si>
    <t>May-ling after Chiang detained: Soong May-ling and Chiang Kai-shek; Selle, Earl Albert, pp. 260, 306, 319–20; Li Jin-zhou ed., pp. 72–3; Yang Tian-shi 1998, p. 466</t>
  </si>
  <si>
    <t>May-ling to Xian: Soong May-ling and Chiang Kai-shek, pp. 51–3; Chiang–May-ling: Soong May-ling (Madame Chiang Kai-shek) 1955, pp. 13–14, 23; Soong May-ling and Chiang Kai-shek, pp. 54–5; Young Marshal to May-ling: Soong May-ling and Chiang Kai-shek, pp. 56–7</t>
  </si>
  <si>
    <t>Zhou En-lai in Xian: Chang, Jung and Halliday, Jon, Chapter 17; message from Moscow to free Ching-kuo: Wang Bing-nan was by the door and heard this, unpublished memoir, cited in Han Su-yin, p. 154</t>
  </si>
  <si>
    <t>to kill Chiang: Central Archives ed., p. 213; Zhang Xue-liang (Zhang You-kun and Qian Jin, eds.), p. 1124</t>
  </si>
  <si>
    <t>Chapter 15: Bravery and Corruption</t>
  </si>
  <si>
    <t>Central University: Luo Jia-lun, pp. 141–53</t>
  </si>
  <si>
    <t>Fort Bliss: Chennault, Anna, pp. 93–4</t>
  </si>
  <si>
    <t>Her argument: Wu Kuo-Cheng, pp. 14–15, 183; Shou Chong-yi ed., pp. 79, 85</t>
  </si>
  <si>
    <t>Donald–May-ling: Selle, Earl Albert, pp. 348–9</t>
  </si>
  <si>
    <t>Edgar Snow: Snow, Edgar, pp. 85–90</t>
  </si>
  <si>
    <t>dinner-dance restaurant: Hahn, Emily 2014b, pp. 273–4</t>
  </si>
  <si>
    <t>Wang blamed Chiang: Wang Jing-wei (Cai De-jin and Wang Sheng eds.), pp. 248–269</t>
  </si>
  <si>
    <t>three sisters in Chongqing: Soong Ching-ling (Shang Ming-xuan et al. eds.), vol. 1, pp. 405–9; May-ling to Emma, 7 and 9 May 1940, Papers of Emma DeLong Mills, MSS.2, Wellesley College Archives; Hahn, Emily 2014a, p. 170; 2014b, p. 284; to Anna Wang: Soong Ching-ling (Shang Ming-xuan et al. eds.), vol. 1, pp. 407–8; Epstein, Israel, pp. 334–5</t>
  </si>
  <si>
    <t>She told the Americans: Ambassador Gauss to the Secretary of State, 16 February 1944, FRUS, vol. VI; Stilwell sketch: Tuchman, Barbara W., pp. 94–5; Stilwell diary: Epstein, Israel, pp. 396, 424</t>
  </si>
  <si>
    <t>about her sisters to Brazil: Epstein, Israel, pp. 401, 424; Ambassador Gauss to the Secretary of State, 16 February 1944, FRUS, vol. VI; Anna Wang commented: Epstein, Israel, p. 337</t>
  </si>
  <si>
    <t>Sir Alan Brooke: Alanbrooke, Viscount, pp. 471, 478; Anthony Eden: Eden, Anthony, p. 424</t>
  </si>
  <si>
    <t>with Emma in New York: DeLong, Thomas A., pp. 184–8; May-ling to Emma, 12 June 1946, Papers of Emma DeLong Mills, MSS.2, Wellesley College Archives; Chiang wrote to her frequently: Chiang Kai-shek: Family Correspondence, pp. 30–3</t>
  </si>
  <si>
    <t>corruption scandal: Yang Tian-shi 2008, vol. 2, pp. 449–66; Koo, V.K. Wellington, Columbia University Archives, Vol. 5, Part F, p. 847; Emma noticed the mood: DeLong, Thomas A., pp. 184–90; May-ling to Times Square: DeLong, Thomas A., p. 191</t>
  </si>
  <si>
    <t>Chapter 18: The Downfall of the Chiang Regime</t>
  </si>
  <si>
    <t>Chiangs in Xichang: I Fu-en, pp. 111–12</t>
  </si>
  <si>
    <t>Mao nervous breakdown: Chang, Jung and Halliday, Jon, Chapter 27; Chiang toured the country: Wu Kuo-Cheng, pp. 1, 18–19; I Fu-en, p. 113; Huang Ke-wu et al., vol. 1, pp. 289–90; vol. 2, p. 55</t>
  </si>
  <si>
    <t>Wellington Koo reception: Koo, V.K. Wellington, Columbia University Archives, Vol. 5, Part F, pp. 861, 898; Tung, William L., p. 71; T.V. lost faith in Chiang: Beal, John Robinson, pp. 341–2; Wu Jing-ping and Kuo Tai-chun 2008a, pp. 97–104; Hua Shang Daily, 30 November 1947; Wu Kuo-Cheng, p. 189</t>
  </si>
  <si>
    <t>Ei-ling will-like letter: Soong Ching-ling (Shanghai Soong Ching-ling Memorial Residence ed.), pp. 124–5</t>
  </si>
  <si>
    <t>note Professor Wu Jing-ping, in Sun zhongshan soong chingling yanjiu dongtai (News in the Studies of Sun Yat-sen and Soong Ching-ling), 2006, issue 5, pp. 21–3; Shou Chong-yi ed., pp. 44, 61, 92–6, passim; Wu Jing-ping and Kuo Tai-chun 2008a, p. 150</t>
  </si>
  <si>
    <t>Her other messengers: Soong Ching-ling (Shanghai Soong Ching-ling Memorial Residence ed.), p. 144</t>
  </si>
  <si>
    <t>outing to Hangzhou: Epstein, Israel, p. 473; sending delicacies: Soong Ching-ling (Shanghai Soong Ching-ling Memorial Residence ed.), pp. 108, 144, 199</t>
  </si>
  <si>
    <t>Barr commented: Topping, Seymour, p. 50; Red moles: Chang, Jung and Halliday, Jon, Chapter 29</t>
  </si>
  <si>
    <t>Big-Eared Du–David–May–ling: Yang Tian-shi 2014, pp. 203–19; Chiang Ching-kuo 2011, pp. 258–67</t>
  </si>
  <si>
    <t>Chiang noted in his diary: November 1948, Chiang Kai-shek Diaries, Hoover Institution Archives; Yang Tian-shi 2014, pp. 217</t>
  </si>
  <si>
    <t>May-ling to Red Sister: Soong Ching-ling (Shanghai Soong Ching-ling Memorial Residence ed.), p. 199; Red Sister did not reply: Soong Ching-ling (Shanghai Soong Ching-ling Memorial Residence ed.), p. 421</t>
  </si>
  <si>
    <t>deeply upset: Shanghai Managing Committee of the Historical Objects of Sun Yat-sen and Soong Ching-ling ed., vol. 1, pp. 242, 269; cf. Soong Ching-ling (Shang Ming-xuan et al. eds.), vol. 2, p. 930; Ching-ling articles about Sun: Soong Ching-ling 1992, pp. 239–47; Shanghai Managing Committee of the Historical Objects of Sun Yat-sen and Soong Ching-ling ed., vol. 1, p. 274</t>
  </si>
  <si>
    <t>Ching-ling told what she should say and incensed: Shanghai Managing Committee of the Historical Objects of Sun Yat-sen and Soong Ching-ling ed., vol. 1, pp. 269, 274; cousin of hers wrote: Shanghai Managing Committee of the Historical Objects of Sun Yat-sen and Soong Ching-ling ed., vol. 4, pp. 135–6; she was not invited: Shanghai Managing Committee of the Historical Objects of Sun Yat-sen and Soong Ching-ling ed., vol. 1, p. 242</t>
  </si>
  <si>
    <t>chief bodyguard and his deputy: Tang Xiong 2006</t>
  </si>
  <si>
    <t>anxiety over her letters: Soong Ching-ling (Soong Ching-ling Foundation et al. eds.), pp. 348–53; some complaints: Soong Ching-ling (Soong Ching-ling Foundation et al. eds.), pp. 358–9, 366–9; Anna also sent her: Soong Ching-ling (Soong Ching-ling Foundation et al. eds.), pp. 346, 348, 356–8, 362</t>
  </si>
  <si>
    <r>
      <t>Yolanda–Mama</t>
    </r>
    <r>
      <rPr>
        <sz val="8"/>
        <color rgb="FF222D33"/>
        <rFont val="Microsoft Yahei"/>
        <family val="2"/>
      </rPr>
      <t>: Yolanda interviews, </t>
    </r>
    <r>
      <rPr>
        <sz val="11"/>
        <color rgb="FF0B4085"/>
        <rFont val="Microsoft Yahei"/>
        <family val="2"/>
      </rPr>
      <t>http://history.sina.com.cn/bk/wgs/2015–04-13/1440118715.shtml</t>
    </r>
    <r>
      <rPr>
        <sz val="8"/>
        <color rgb="FF222D33"/>
        <rFont val="Microsoft Yahei"/>
        <family val="2"/>
      </rPr>
      <t>; </t>
    </r>
    <r>
      <rPr>
        <sz val="11"/>
        <color rgb="FF0B4085"/>
        <rFont val="Microsoft Yahei"/>
        <family val="2"/>
      </rPr>
      <t>https://v.qq.com/x/page/t0163kzni44.html</t>
    </r>
    <r>
      <rPr>
        <sz val="8"/>
        <color rgb="FF222D33"/>
        <rFont val="Microsoft Yahei"/>
        <family val="2"/>
      </rPr>
      <t>;</t>
    </r>
  </si>
  <si>
    <t>https://tv.sohu.com/v/dXMvMzM1OTQxNjQwLzEyMTA0MzY1MC5zaHRtbA==.html; Tang, Earnest, p. 119; Yong-jie: Soong Ching-ling (Soong Ching-ling Foundation et al. eds.), p. 562; Tang Xiong 2006, pp. 163, 208</t>
  </si>
  <si>
    <r>
      <t>Mrs Sui</t>
    </r>
    <r>
      <rPr>
        <sz val="8"/>
        <color rgb="FF222D33"/>
        <rFont val="Microsoft Yahei"/>
        <family val="2"/>
      </rPr>
      <t>: Tang Xiong 2006, pp. 168–9; Tang Xiong, in </t>
    </r>
    <r>
      <rPr>
        <i/>
        <sz val="8"/>
        <color rgb="FF222D33"/>
        <rFont val="Microsoft Yahei"/>
        <family val="2"/>
      </rPr>
      <t>Woodpecker</t>
    </r>
    <r>
      <rPr>
        <sz val="8"/>
        <color rgb="FF222D33"/>
        <rFont val="Microsoft Yahei"/>
        <family val="2"/>
      </rPr>
      <t> magazine, 2005, issue 7, </t>
    </r>
    <r>
      <rPr>
        <sz val="11"/>
        <color rgb="FF0B4085"/>
        <rFont val="Microsoft Yahei"/>
        <family val="2"/>
      </rPr>
      <t>http://www.360doc.com/content/15/0113/22/7915662_440550733.shtml</t>
    </r>
    <r>
      <rPr>
        <sz val="8"/>
        <color rgb="FF222D33"/>
        <rFont val="Microsoft Yahei"/>
        <family val="2"/>
      </rPr>
      <t>;</t>
    </r>
  </si>
  <si>
    <t>new chief bodyguard: Soong Ching-ling (Soong Ching-ling Foundation et al. eds.), p. 387; Tang Xiong 2006, pp. 194–5; Li Yun</t>
  </si>
  <si>
    <t>Fearing the Red Guards: Soong Ching-ling (Soong Ching-ling Foundation et al. eds.), p. 648; Soong Ching-ling (Shang Ming-xuan et al. eds.), vol. 2, p. 1179; Anna Louise Strong: Epstein, Israel, p. 548; Jin Zhong-hua: Zheng Peng-nian, pp. 270–3; Hua-ping</t>
  </si>
  <si>
    <t>Ching-ling to friends: Soong Ching-ling (China Welfare ed.), pp. 167, 145; Soong Ching-ling (Soong Ching-ling Foundation et al. eds.), p. 669</t>
  </si>
  <si>
    <r>
      <t>affection for natural family</t>
    </r>
    <r>
      <rPr>
        <sz val="8"/>
        <color rgb="FF222D33"/>
        <rFont val="Microsoft Yahei"/>
        <family val="2"/>
      </rPr>
      <t>: Yolanda interviews, </t>
    </r>
    <r>
      <rPr>
        <sz val="11"/>
        <color rgb="FF0B4085"/>
        <rFont val="Microsoft Yahei"/>
        <family val="2"/>
      </rPr>
      <t>https://tv.sohu.com/v/dXMvMzM4NDUwMzYxLzExNzkwMTUzNS5zaHRtbA==.html</t>
    </r>
    <r>
      <rPr>
        <sz val="8"/>
        <color rgb="FF222D33"/>
        <rFont val="Microsoft Yahei"/>
        <family val="2"/>
      </rPr>
      <t>; </t>
    </r>
    <r>
      <rPr>
        <sz val="11"/>
        <color rgb="FF0B4085"/>
        <rFont val="Microsoft Yahei"/>
        <family val="2"/>
      </rPr>
      <t>https://v.qq.com/x/page/t0163kzni44.html</t>
    </r>
    <r>
      <rPr>
        <sz val="8"/>
        <color rgb="FF222D33"/>
        <rFont val="Microsoft Yahei"/>
        <family val="2"/>
      </rPr>
      <t>; </t>
    </r>
    <r>
      <rPr>
        <b/>
        <sz val="8"/>
        <color rgb="FF222D33"/>
        <rFont val="Microsoft Yahei"/>
        <family val="2"/>
      </rPr>
      <t>accused Snow</t>
    </r>
    <r>
      <rPr>
        <sz val="8"/>
        <color rgb="FF222D33"/>
        <rFont val="Microsoft Yahei"/>
        <family val="2"/>
      </rPr>
      <t>: Tang, Earnest, p. 101</t>
    </r>
  </si>
  <si>
    <t>Chapter 21: Taiwan Days</t>
  </si>
  <si>
    <t>May-ling elated: to Emma, 25 July 1950, 26 January 1951, Papers of Emma DeLong Mills, MSS.2, Wellesley College Archives; May-ling learning to paint: to Emma, 21 October 1951, Emma to May-ling, 11 February 1952, Papers of Emma DeLong Mills, MSS.2, Wellesley College Archives</t>
  </si>
  <si>
    <t>The earlier pattern: Chiang Kai-shek: Family Correspondence, pp. 39ff; Dr K.C. Wu: Wu Kuo-Cheng, passim; Chiang Kai-shek: Family Correspondence, p. 41</t>
  </si>
  <si>
    <t>told Emma wryly: 20 Feb. 1954, Papers of Emma DeLong Mills, MSS.2, Wellesley College Archives; cf. Chiang Kai-shek (Chin Hsiao-i ed.), vol. 8, pp. 3899–900; Chiang Kai-shek: Family Correspondence, p. 41</t>
  </si>
  <si>
    <t>sobbed loudly in her dreams: 4 June 1951, Chiang Kai-shek Diaries, Hoover Institution Archives; Soviet Russia in China, Chiang Kai-shek 1957; Rev. Chow Lien-hwa: Hu Zi-dan</t>
  </si>
  <si>
    <t>two sedan chairs: Weng Yuan (with Wang Feng), p. 155; Huang Ke-wu et al., vol. 2, p. 490; fancy planes: I Fu-en, pp. 109–11; have staff fan him: Weng Yuan (with Wang Feng), p. 74</t>
  </si>
  <si>
    <t>only wanted to be with Ching-kuo: January 1972ff, Chiang Kai-shek Diaries, Hoover Institution Archives; Shong Wen, pp. 112, 120–1; Huang Ke-wu et al., vol. 1, p. 256; against May-ling and David: 17 and 26 March, 17 and 27 May, 12 June, 11 July 1972, Chiang Kai-shek Diaries, Hoover Institution Archives; Yang Tian-shi 2014, pp. 268–9</t>
  </si>
  <si>
    <t>letters like these: Chiang Ching-kuo (Zhou Mei-hua and Xiao Li-ju eds.), vol. 1, pp. 326, 342–9; It fell on May-ling: Chiang Ching-kuo (Zhou Mei-hua and Xiao Li-ju eds.), vol. 1, p. 366</t>
  </si>
  <si>
    <t>Mao mourning Chiang: Chang, Jung and Halliday, Jon, Chapter 58; picture of Chiang on bedside table: Chen Li-wen ed. 2014, pp. 18–19, 131; number of staff thirty-seven: interviews with Dr Jan Kung-ming, physician who treated May-ling in her last years; cf. Huang Ke-wu et al., vol. 2, pp. 295, 462–3; Chiang asked son to look after May-ling: Chiang Ching-kuo (Zhou Mei-hua and Xiao Li-ju eds.), vol. 1, pp. 325ff, 373, 586–8</t>
  </si>
  <si>
    <t>Chapter 22: The Hollywood Connection</t>
  </si>
  <si>
    <t>May-ling on Gregory: Chiang Ching-kuo (Zhou Mei-hua and Xiao Li-ju eds.), vol. 2, p. 210</t>
  </si>
  <si>
    <t>Chapter 23: New York, New York</t>
  </si>
  <si>
    <t>T.L.: Soong Ching-ling (Soong Ching-ling Foundation and China Welfare eds.), vol. 2, p. 823; Soong Ching-ling (Shang Ming-xuan et al. eds.), vol. 2, p. 1437; T.V. in New York: Wu Jing-ping and Kuo Tai-chun 2008a, pp. 130–7; Wu Kuo-Cheng, p. 161; interview with his daughter Laurette and grandson Michael Feng, 26 January 2016</t>
  </si>
  <si>
    <t>he wrote to May-ling: 31 October 1962, T.V. Soong Papers, Box 61, folder no. 31, Hoover Institution Archives; T.V. to Taiwan: Wu Jing-ping and Kuo Tai-chun 2008a, p. 134; T.V. saw Harriman: T.V.–May-ling letters, 1 September and 7 October 1963, T.V. Soong Papers, Box 61, folder no. 31, Hoover Institution Archives</t>
  </si>
  <si>
    <t>T.V. death: Wu Jing-ping and Kuo Tai-chun 2008a, p. 146; interview with his daughter Laurette and grandson Michael Feng, 26 January 2016; Chiang stopped May-ling coming to T.V. funeral: 22 [sic] and 29 April 1971, Chiang Kai-shek Diaries, Hoover Institution Archives; T.V. family re Ching-ling: interview with his daughter Laurette and grandson Michael Feng, 26 January 2016</t>
  </si>
  <si>
    <t>Chapter 24: In the Face of a Changed Time</t>
  </si>
  <si>
    <t>letter allegedly written by Ching-ling: Chiang Ching-kuo (Zhou Mei-hua and Xiao Li-ju eds.), vol. 2, pp. 163–9; offered to reply: Chiang Ching-kuo (Zhou Mei-hua and Xiao Li-ju eds.), vol. 2, pp. 278–88; against Sterling Seagrave: Chiang Ching-kuo (Zhou Mei-hua and Xiao Li-ju eds.), vol. 2, pp. 512ff; DeLong, Thomas A., p. 244</t>
  </si>
  <si>
    <r>
      <t>Chiang centenary</t>
    </r>
    <r>
      <rPr>
        <sz val="8"/>
        <color rgb="FF222D33"/>
        <rFont val="Microsoft Yahei"/>
        <family val="2"/>
      </rPr>
      <t>: </t>
    </r>
    <r>
      <rPr>
        <sz val="11"/>
        <color rgb="FF0B4085"/>
        <rFont val="Microsoft Yahei"/>
        <family val="2"/>
      </rPr>
      <t>https://www.youtube.com/watch?v=les3zpWSPXs</t>
    </r>
  </si>
  <si>
    <t>Ching-kuo hostage years: Chiang Ching-kuo, in Cline, Ray S.</t>
  </si>
  <si>
    <t>His staff noticed: Weng Yuan (with Wang Feng), pp. 428–9</t>
  </si>
  <si>
    <r>
      <t>She had mixed feelings</t>
    </r>
    <r>
      <rPr>
        <sz val="8"/>
        <color rgb="FF222D33"/>
        <rFont val="Microsoft Yahei"/>
        <family val="2"/>
      </rPr>
      <t>: her speech 7 July 1988, </t>
    </r>
    <r>
      <rPr>
        <sz val="11"/>
        <color rgb="FF0B4085"/>
        <rFont val="Microsoft Yahei"/>
        <family val="2"/>
      </rPr>
      <t>http://blog.sciencenet.cn/blog-51807–883264.html</t>
    </r>
    <r>
      <rPr>
        <sz val="8"/>
        <color rgb="FF222D33"/>
        <rFont val="Microsoft Yahei"/>
        <family val="2"/>
      </rPr>
      <t>; </t>
    </r>
    <r>
      <rPr>
        <b/>
        <sz val="8"/>
        <color rgb="FF222D33"/>
        <rFont val="Microsoft Yahei"/>
        <family val="2"/>
      </rPr>
      <t>son Hsiao-yung</t>
    </r>
    <r>
      <rPr>
        <sz val="8"/>
        <color rgb="FF222D33"/>
        <rFont val="Microsoft Yahei"/>
        <family val="2"/>
      </rPr>
      <t>: Weng Yuan (with Wang Feng), pp. 432–5; </t>
    </r>
    <r>
      <rPr>
        <b/>
        <sz val="8"/>
        <color rgb="FF222D33"/>
        <rFont val="Microsoft Yahei"/>
        <family val="2"/>
      </rPr>
      <t>Lee alarmed May-ling</t>
    </r>
    <r>
      <rPr>
        <sz val="8"/>
        <color rgb="FF222D33"/>
        <rFont val="Microsoft Yahei"/>
        <family val="2"/>
      </rPr>
      <t>: Chiang Ching-kuo (Zhou Mei-hua and Xiao Li-ju eds.), vol. 2, p. 399; </t>
    </r>
    <r>
      <rPr>
        <b/>
        <sz val="8"/>
        <color rgb="FF222D33"/>
        <rFont val="Microsoft Yahei"/>
        <family val="2"/>
      </rPr>
      <t>Jeanette took over Grand Hotel</t>
    </r>
    <r>
      <rPr>
        <sz val="8"/>
        <color rgb="FF222D33"/>
        <rFont val="Microsoft Yahei"/>
        <family val="2"/>
      </rPr>
      <t>: Zhou Hong-tao (with Wang Shi-chun), pp. 485–90; </t>
    </r>
    <r>
      <rPr>
        <b/>
        <sz val="8"/>
        <color rgb="FF222D33"/>
        <rFont val="Microsoft Yahei"/>
        <family val="2"/>
      </rPr>
      <t>May-ling tried to keep party chairmanship</t>
    </r>
    <r>
      <rPr>
        <sz val="8"/>
        <color rgb="FF222D33"/>
        <rFont val="Microsoft Yahei"/>
        <family val="2"/>
      </rPr>
      <t>: Shaw Yu-ming, p. 260; speech 7 July 1988, </t>
    </r>
    <r>
      <rPr>
        <sz val="11"/>
        <color rgb="FF0B4085"/>
        <rFont val="Microsoft Yahei"/>
        <family val="2"/>
      </rPr>
      <t>http://blog.sciencenet.cn/blog-51807–883264.html</t>
    </r>
  </si>
  <si>
    <t>lifestyle guaranteed: Chen Li-wen ed. 2014, pp. 32–3, 326–7, passim; Kungs contribute a portion: Chen Li-wen ed. 2014, pp. 19–20; fretted about money: Chen Li-wen ed. 2014, pp. 137–8; Praying and reading the Bible: Chen Li-wen ed. 2014, pp. 120, 341, 348, passim; hardly ever reminisced: Chen Li-wen ed. 2014, pp. 18, 265</t>
  </si>
  <si>
    <t>often muttering: Chen Li-wen ed. 2014, pp. 113, 219; interred with Ei-ling: Chen Li-wen ed. 2014, p. 270; funeral low-key: Chen Li-wen ed. 2014, pp. 16–17, 270–1, 306–7; Chen Shui-bian to pay respects: Chen Li-wen ed. 2014, pp. 307–8</t>
  </si>
  <si>
    <t>‘Drive out the Manchus': Sun Yat-sen (Chen Xi-qi et al. eds.), vol. 1, pp. 4–5; Cuiheng and family poverty: Sun Yat-sen (Chen Xi-qi et al. eds.), vol. 1, p. 74; Sun, Victor, p. 24; Shang Ming-xuan et al. eds., p. 513</t>
  </si>
  <si>
    <t>against sister's foot-binding: Linebarger, Paul, pp. 79–81; Sun Hui-fen, p. 18; such a thing as ‘thinking': Miyazaki, To¯ten 1977, p. 7</t>
  </si>
  <si>
    <t>‘a wonder-house': Linebarger, Paul, p. 116; school life in Hawaii: Sun, Victor, pp. 79, 89–92; Linebarger, Paul, pp. 122–31; Chung Kun Ai, p. 106; Wong, J. Y. 2012, pp. 193–224</t>
  </si>
  <si>
    <t>‘the Second Hong': Chen Shao-bai, pp. 6, 8</t>
  </si>
  <si>
    <t>many wary of Sun: Tse Tsan Tai, p. 4; ‘Let me deal with Yeung': Chen Shao-bai, p. 29</t>
  </si>
  <si>
    <t>‘like a poisonous snake': Sun Yat-sen (Chen Xi-qi et al. eds.), vol. 1, p. 110</t>
  </si>
  <si>
    <t>Slater's Detective Association reports: Luo Jia-lun, pp. 100–76</t>
  </si>
  <si>
    <t>Cantlie's testimony: The National Archives, London, UK, FO 17/1718, p. 122; ‘Well, I suppose you are': The National Archives, London, UK, FO 17/1718, p. 121; Sun came to the conclusion: Luo Jia-lun, pp. 45, 48–9; The National Archives, London, UK, FO 17/1718, pp. 119–21</t>
  </si>
  <si>
    <t>Sun's detention and release: Luo Jia-lun; The National Archives, FO 17/1718, pp. 9–498; Cantlie, Neil and Seaver, George, pp. 103–5; Cantlie, James and Sheridan, Charles Jones, pp. 43–4; cf. Sun Yat Sen, Kidnapped in London; Chen Shao-bai, pp. 34–5</t>
  </si>
  <si>
    <t>‘accosted…and compelled to enter': The West Australian, 26 October 1896; ‘it was done in a friendly manner': The National Archives, London, UK, FO 17/1718, p. 120; ‘that troublesome friend of yours': Cantlie, Neil and Seaver, George, p. 107</t>
  </si>
  <si>
    <t>‘I get what I want': Chan, Luke and Taylor, Betty Tebbetts, p. 171</t>
  </si>
  <si>
    <t>repeated setbacks: Papers of 3rd Marquess of Salisbury, Hatfield House Archives/3M/B24; Empress Dowager Cixi: Chang, Jung 2013; ‘a thousand li a day': Sun Yat-sen (Chen Xi-qi et al. eds.), vol. 1, p. 346; Dr Charles Hager: Hager, Charles R., pp. 385–6</t>
  </si>
  <si>
    <t>Charlie's letter to his father: Shanghai Managing Committee of the Historical Objects of Sun Yat-sen and Soong Ching-ling ed., vol. 2, pp. 281–2; Letters between Charlie and Dr Allen: Shanghai Managing Committee of the Historical Objects of Sun Yat-sen and Soong Ching-ling ed., vol. 2, pp. 281–5, Shanghai Managing Committee of the Historical Objects of Sun Yat-sen and Soong Ching-ling, and Shanghai Association for Soong Ching-ling Studies eds. 2013a, p. 7</t>
  </si>
  <si>
    <t>John C. Orr recalled: World Outlook, April 1938, p. 8; ‘with the greatest respect': Haag, E. A., p. 79; Jerome Dowd noticed: Charlie Soong at Trinity College; Bishop McTyeire to Dr Allen: Burke, James, p. 17; People remembered Charlie: Haag, E. A., pp. 74–9; Charlie Soong at Trinity College; Hahn, Emily, 2014b, p. 8</t>
  </si>
  <si>
    <t>Charlie's letter in 1882: Charlie Soong at Trinity College; Ella Carr: Haag, E. A., pp. 50–1; To Miss Annie: Shanghai Managing Committee of the Historical Objects of Sun Yat-sen and Soong Ching-ling ed., vol. 2, pp. 287–8</t>
  </si>
  <si>
    <t>‘I knew my mother': Soong May-ling 1934, p. 131; ‘there was a strength of character': Charles Jones Soong Reference Collection; jokey notice: Haag, E. A., p. 118; Bill Burke's memory: Burke, James, pp. 43–4</t>
  </si>
  <si>
    <t>‘a very congenial couple': Charles Jones Soong Reference Collection; ‘My reason for leaving': Haag, E. A., pp. 127–8; ‘can never be Chinese enough': Burke, James, p. 43; did not like Chinese food: Hahn, Emily 2014b, p. 24; Haag, E. A., p. 111; Ei-ling's description: Hahn, Emily 2014b, p. 24</t>
  </si>
  <si>
    <t>‘gained the impression': Charles Jones Soong Reference Collection</t>
  </si>
  <si>
    <t>sending Sun money over the years: Charles Jones Soong Reference collection; Sun Yat-sen, Collected Works, Chapter 8 of The Sun Theory, 1919/06, http://sunology.culture.tw/cgi-bin/gs32/s1gsweb.cgi?o=dcorpusands=id=%22CS0000000030%22.andsearchmode=basic, Letter to Li Xiao-sheng, 1912/04/14, http://sunology.culture.tw/cgi-bin/gs32/s1gsweb.cgi?o=dcorpusands=id=%22TG0000001329%22.andsearchmode=basic; ‘vile criminal': Zhang Zhu-hong; ‘I know no man': Shanghai Managing Committee of the Historical Objects of Sun Yat-sen and Soong Ching-ling ed., vol. 2, p. 295; Charlie revealed his secret to Mrs Roberts: Charles Jones Soong Reference Collection</t>
  </si>
  <si>
    <t>Chapter 3: Ei-ling: A ‘Mighty Smart' Young Lady</t>
  </si>
  <si>
    <t>‘a dreamy and pretty child': Hahn, Emily 2014b, p. 22</t>
  </si>
  <si>
    <t>‘As a child': Shanghai Managing Committee of the Historical Objects of Sun Yat-sen and Soong Ching-ling ed., vol. 1, p. 265</t>
  </si>
  <si>
    <t>Ei-ling at Wesleyan: Burke, James, pp. 166–8; Wesleyan College Archives and Special Collections: Soong Sisters, ‘article – undated, 2/10', ‘Sketches – Questionnaire Replied – Circa 1943', ‘Sketches – College – undated, 2/8', ‘Publication by – Ei-ling “My Country and Its Appeal” – undated, Box Folder 5'</t>
  </si>
  <si>
    <t>Ei-ling ‘scolding' May-ling: Wesleyan College Archives and Special Collections, ‘Sketches – Questionnaire Replied – Circa 1943'; ‘undoubtedly the most brilliant mind': 13 September 1917, Papers of Emma DeLong Mills, MSS.2, Wellesley College Archives; The Japanese Girl: Burke, James, p. 168</t>
  </si>
  <si>
    <t>‘a coward': in Wong, J. Y. 2005, p. 318; George Morrison reported: Lo Hui-Min, vol. 1, pp. 666, 721; ‘A revolution does not depend on money': Sun Yat-sen, Collected Works, interview with the Dalu newspaper in Shanghai, 1911/12/25, http://sunology.culture.tw/cgi-bin/gs32/s1gsweb.cgi?o=dcorpusands=id=%22TL0000000138%22.andsearchmode=basic</t>
  </si>
  <si>
    <t>Sun conceded to arrangement before voting: Shang Ming-xuan et al. eds., pp. 779–80; CPPCC 1981, vol. 1, pp. 117–9; Huang Xing (Mao Zhu-qing ed.), p. 245; Sun publicly pledged to step down: Sun Yat-sen (Chen Xi-qi et al. eds.), vol. 1, p. 615; ‘Why do you not want peace talks?': CPPCC 1981, vol. 1, p. 118; cf. Sun Yat-sen (Chen Xi-qi et al. eds.), vol. 1, p. 633; 15 million yuan: Sun Yat-sen (Chen Xi-qi et al. eds.), vol. 1, pp. 647–8</t>
  </si>
  <si>
    <t>John Cline's description: Burke, James, p. 179; William Donald's account: Selle, Earl Albert, pp. vii, 134, 139; Tongues began to wag: Huang San-de, p. 8</t>
  </si>
  <si>
    <t>Mu-zhen and Sun's mother miserable: Chan, Luke and Taylor, Betty Tebbetts, pp. 187–8; what comforted the women: Sun, Victor, pp. 360–6, 398</t>
  </si>
  <si>
    <t>hung his head: Miyazaki, To¯ten 1977, p. 141; ‘behaved badly': Huang San-de, p. 8</t>
  </si>
  <si>
    <t>Cix committed to constitutional monarchy: Archives of Ming and Qing dynasties ed., vol. 1, pp. 43–4, 54–68; vol. 2, pp. 627–37, 667–84, 671–3, 683–4; Chang, Jung 2013, Chapter 29; 1909 provincial elections: Gu Li-juan and Yuan Xiang-fu, vol. 1, pp. 2–5; Archives of Ming and Qing dynasties ed., vol. 1, pp. 667ff; Zhang Peng-yuan 1979, pp. 364–8; Chang, David Cheng, p. 196; ‘acting parliament': Gu Li-juan and Yuan Xiang-fu, vol. 1, pp. 88, 119–20, 156, 186–92</t>
  </si>
  <si>
    <t>1913 general election: Gu Li-juan and Yuan Xiang-fu, vol. 1, pp. 2–16; Zhang Peng-yuan 2013, p. 76–110; Zhang Peng-yuan 1979, pp. 364–70; Chang, David Cheng, p. 215; French scholar concluded: Bergère, Marie-Claire, p. 226; members of first parliament: Gu Li-juan and Yuan Xiang-fu, vol. 1, p 523; Zhang Peng-yuan 1979, pp. 398–447; K'ung Hsiang-hsi, p. 39</t>
  </si>
  <si>
    <t>assassination attempt on Yuan: Wu Chang-yi ed., pp. 18–19; ‘would catch sight': Selle, Earl Albert, p. 134; core of this request: Sun Yat-sen (Chen Xi-qi et al. eds.), vol. 1, pp. 764, 773, 778, 782</t>
  </si>
  <si>
    <t>Song's last words to ‘President Yuan': Song Jiao-ren (Chen Xu-lu ed.), p. 496; ‘must have given the order': K'ung Hsiang-hsi, pp. 36–7; ‘snake': Soong Ching-ling (China Welfare ed.), p. 189</t>
  </si>
  <si>
    <t>he saw Mrs Roberts: Charles Jones Soong Reference Collection; H.H. Kung met Ei-ling: K'ung Hsiang-hsi; Lo Hui-Min, vol. 2, pp. 478–9; Yu Xin-chun and Wang Zhen-suo eds., pp. 283, 299; Shou Chong-yi ed., pp. 42–3, 57, 77, 82</t>
  </si>
  <si>
    <t>H.H. and Ei-ling steered away from Sun: K'ung Hsiang-hsi, pp. 36–43; Lo Hui-Min, vol. 2, pp. 478–80; Ei-ling wedding: Hahn, Emily 2014b, pp. 80–1</t>
  </si>
  <si>
    <t>Ching-ling's contemporaries remembered: Wesleyan College Archives and Special Collections: ‘Sketches – Questionnaire Replied – Circa 1943', ‘Sketches – College – undated, 2/8', ‘article – undated, 2/10'</t>
  </si>
  <si>
    <t>‘I am taking a box': Hahn, Emily 2014b, p. 77; ‘I…went from dinners': Epstein, Israel, p. 7; ‘He was made of stern stuff': Epstein, Israel, p. 36; to Allie Sleep: Rosholt, Malcolm, pp. 112–15</t>
  </si>
  <si>
    <t>about missionaries: Epstein, Israel, pp. 7, 42–3; ‘I just can't get Ching-ling': Soong Ching-ling (Shang Ming-xuan et al. eds.), vol. 1, p. 67; Ching-ling teasing Sun: Shanghai Managing Committee of the Historical Objects of Sun Yat-sen and Soong Ching-ling ed., vol. 2, pp. 293–5</t>
  </si>
  <si>
    <t>‘I am so absent-minded': Rosholt, Malcolm, p. 115; carved dragon: Lin Ke-guang et al., p. 16</t>
  </si>
  <si>
    <t>Sun eager to exploit Yuan's vulnerability: Sun Yat-sen (Chen Xi-qi et al. eds.), vol. 1, pp. 976, 983–91; Sun Yat-sen, Collected Works, letter to Shanghai comrades, 1916/03/3, http://sunology.culture.tw/cgi-bin/gs32/s1gsweb.cgi?o=dcorpus&amp;s=id=%22TG0000001651%22.andsearchmode=basic</t>
  </si>
  <si>
    <t>Li no burning ambition: Sun Yat-sen, Collected Works, letter to Dai De-lu (James Deitrick), 1916/07/05, http://sunology.culture.tw/cgibin/gs32/s1gsweb.cgi?o=dcorpusands=id=%22TG0000001744%22.andsearchmode=basic [inactive]; Li Yuan-hong (Zhang Bei ed.), pp. 36–8, 53; Li offer, Sun turned it down: Sun Yat-sen (Chen Xi-qi et al. eds.), vol. 1, pp. 1004–5; ‘You must be careful': p. 1010; Documents from German archives: Li Guo-qi, p. 323; cf. Wang Jian and Chen Xian-chun</t>
  </si>
  <si>
    <t>‘provisional president' – ‘grand marshal': Sun Yat-sen (Chen Xi-qi et al. eds.), vol. 1, pp. 1051–3; Zhang Tai-yan, pp. 32–3; Tang Rui-xiang, pp. 26–8; naval chief Cheng Bi-guang: Luo Yi-qun, in CPPCC 1950s–, issue 4, pp. 9–10; issue 11, pp. 29–37; Sun Yat-sen (Chen Xi-qi et al. eds.), vol. 1, pp. 1089–92; Tang Rui-xiang, pp. 67, 90–1; Chen Jiong-ming (Chen Ding-yan ed.), pp. 475, 507; People who saw him: Chen Peng Jen, pp. 117–19</t>
  </si>
  <si>
    <t>‘completely and helplessly alone': Sun Yat-sen, Collected Works, reply to Hong Kong businessman Chen Gengru, 1918, http://sunology.culture.tw/cgibin/gs32/s1gsweb.cgi?o=dcorpus&amp;s=id=%22TG0000002243%22.&amp;searchmode=basic [inactive]; ‘the handsomest': Haag, E. A., p. 199; George Sokolsky: New York Times Magazine, 10 January 1932</t>
  </si>
  <si>
    <t>The Sun Theory: Sun Yat-sen, Collected Works, Chapter 5 of The Sun Theory, 1919/06, http://sunology.culture.tw/cgibin/gs32/s1gsweb.cgi?o=dcorpusands=id=%22CS0000000025%22andsearchmode=basic [inactive]; Sun Yat-sen (Chen Xi-qi et al. eds.), vol. 2, pp. 1175–6; ‘Obey me': Hu Shih, vol. 5, p. 596; May-ling to Emma Mills: 25 May 1919, Papers of Emma DeLong Mills, MSS.2, Wellesley College Archives; Ching-ling to Allie: Rosholt, Malcolm, p. 117</t>
  </si>
  <si>
    <t>‘I'll give you 500 guns': Soong Ching-ling (Shang Ming-xuan et al. eds.), vol. 1, p. 105; envoys to Germany: Li Guo-qi, pp. 327–9; Kriukov, Mikhail, pp. 69–87; He implored Japan: Sun Yat-sen (Chen Xi-qi et al. eds.), vol. 1, p. 1133</t>
  </si>
  <si>
    <t>Hsu resignation: New York Times, 2 June 1922; Sun Yat-sen (Chen Xi-qi et al. eds.), vol. 2, pp. 1456–7; Tang Jia-xuan ed., p. 108; Tung, William L., pp. 186–7; Sun press conference: Chen Jiong-ming (Chen Ding-yan ed.), vol. 1, pp. 507–9; Sun fled ‘presidential palace': Sun Yat-sen (Chen Xi-qi et al. eds.), vol. 2, pp. 1463–5; Shang Ming-xuan et al. eds., pp. 134–5; Tang Rui-xiang, p. 151</t>
  </si>
  <si>
    <t>only ‘to reconnoitre': Sun Yat-sen (Chen Xi-qi et al. eds.), vol. 2, p. 1465</t>
  </si>
  <si>
    <t>Ching-ling's experience: her article reproduced in Hahn, Emily 2014b, pp. 98–101; Soong Ching-ling (Shang Ming-xuan et al. eds.), vol. 1, pp. 122–4; Soong Ching-ling Memorial Committee ed., p. 25</t>
  </si>
  <si>
    <t>‘several minutes after': Tang Rui-xiang, p. 163; ‘chatted and laughed': Sun Yat-sen (Chen Xi-qi et al. eds.), vol. 2, pp. 1465–6; Ching-ling suffered miscarriage: Soong Ching-ling (Shang Ming-xuan et al. eds.), vol. 1, p. 122; Epstein, Israel, p. 97; close friends noticed: Hahn, Emily 2014b, p. 104</t>
  </si>
  <si>
    <t>‘look after' Ching-ling: Shang Ming-xuan et al. eds., p. 650; ‘Will you do me a great favour?': Rosholt, Malcolm, p. 118</t>
  </si>
  <si>
    <t>Chapter 7: ‘I wish to follow the example of my friend Lenin'</t>
  </si>
  <si>
    <t>messenger to Moscow's men: Far Eastern Affairs, 1987, 2, p. 102; Sun Yat-sen (Chen Xi-qi et al. eds.), vol. 2, pp. 1472–3; Sun messages to Moscow: Huang Xiu-rong et al. eds., 1920–1925, pp. 110, 166, 149, 213</t>
  </si>
  <si>
    <t>2 million gold roubles annually: Huang Xiu-rong et al. eds., 1920–1925, pp. 217, 226; Sun Yat-sen (Chen Xi-qi et al. eds.), vol. 2, pp. 1567, 1623; ‘a leonine head': Soong May-ling 1977, pp. 8–9</t>
  </si>
  <si>
    <t>Borodin wrote to Moscow: Sun Yat-sen (Chen Xi-qi et al. eds.), vol. 2, pp. 1698–9; CCP founded in 1920: Chang, Jung and Halliday, Jon, Chapter 2; ‘I do not care': Wilbur, C. Martin, p. 146</t>
  </si>
  <si>
    <t>to Western observers: Tuchman, Barbara W., p. 87; Life magazine remarked: Life, vol. 8, no. 10; ‘China's honest warlord': Time, 8 September 1924</t>
  </si>
  <si>
    <t>‘the language of the colonialists': Epstein, Israel, p. 116</t>
  </si>
  <si>
    <t>Ching-ling to Borodin: Far Eastern Affairs, 30 June 2003 REA-No. 002, pp. 121–6; ‘preside over the country': Sun Yat-sen (Chen Xi-qi et al. eds.), vol. 2, pp. 2042, 2048, 2052</t>
  </si>
  <si>
    <t>Borodin noticed the gloom: Huang Xiu-rong et al. eds., 1920–1925, p. 568; ‘a good man': K'ung Hsiang-hsi, p. 57; Old Man Sun: Huang Xiu-rong et al. eds., 1920–1925, p. 572; Zhang Zuo-lin: McCormack, Gavan, pp. 87–8, 253; Shang Ming-xuan et al. eds., p. 413; Huang Xiu-rong et al. eds., 1920–1925, p. 570</t>
  </si>
  <si>
    <t>Wang Jing-wei at Sun's deathbed: Sun Yat-sen (Chen Xu-lu and Hao Sheng-chao eds.), pp. 323–6; Soong Ching-ling (China Welfare ed.), p. 189; Huang Xiu-rong et al. eds., 1920–1925, pp. 574, 578; Ishikawa, Yoshihiro; Sun Yat-sen (Chen Xi-qi et al. eds.), vol. 2, p. 2125; ‘Deathbed Letter to Soviet Government': Ishikawa, Yoshihiro</t>
  </si>
  <si>
    <t>On 11 March: Sun Yat-sen (Chen Xi-qi et al. eds.), vol. 2, pp. 2130–2; ‘to prove that': Epstein, Israel, p. 135; Tang, Earnest, p. 100–2; ‘I wish to follow': Sun Yat-sen (Chen Xi-qi et al. eds.), vol. 2, p. 2132</t>
  </si>
  <si>
    <t>‘the Father of China': Li Gong-zhong, p. 234; Shanghai Managing Committee of the Historical Objects of Sun Yat-sen and Soong Ching-ling ed., vol. 3, p. 386; Nationalist propagandists: Li Gong-zhong, pp. 237–42; ‘no one else': Li Gong-zhong, pp. 165–70; locals petitioned: Li Gong-zhong, pp. 128–9</t>
  </si>
  <si>
    <t>May-ling school days: Wesleyan College Archives and Special Collections: ‘article – undated, 2/10', ‘Sketches – Questionnaire Replied – Circa 1943'; Pakula, Hannah, p. 25</t>
  </si>
  <si>
    <t>‘how I used to cook': 22 June 1941, T.V. Soong Papers, Hoover Institution Archives, Box 61, folder no. 31; ‘Brother and I': 4 July 1917, Papers of Emma DeLong Mills, MSS.2, Wellesley College Archives; first letter from Shanghai: 7 Aug. 1917, Papers of Emma DeLong Mills, MSS.2, Wellesley College Archives</t>
  </si>
  <si>
    <t>favourable attention of Sun: Chiang diary, 26 July 1943, in Yang Tian-shi 2008, vol. 1, p. 12; Chiang kept distance from Sun: Chiang Kai-shek (The Second Historical Archives of China ed.), pp. 24–5, 63ff; ‘In my observation': 14 March 1924, Chiang Kai-shek (The Second Historical Archives of China ed.), p. 167; Liao's reply: Chiang Kai-shek (The Second Historical Archives of China ed.), pp. 168–9</t>
  </si>
  <si>
    <t>‘Chiang is an ordinary soldier': Huang Xiu-rong et al. eds., 1920–1925, pp. 383–5; Liao told Borodin: Huang Xiu-rong et al. eds., 1920–1925, pp. 383–4; Borodin was taken in: Zhang Ke, in Shanghai Managing Committee of the Historical Objects of Sun Yat-sen and Soong Ching-ling, and Shanghai Association for Soong Ching-ling Studies eds. 2013b, p. 629; Epstein, Israel, p. 192; Huang Xiu-rong et al. eds., 1926–1927, vol. 1, p. 141</t>
  </si>
  <si>
    <t>‘very much keener': 6 July 1921, Papers of Emma DeLong Mills, MSS.2, Wellesley College Archives; Ei-ling anti-Communist: K'ung Hsiang-hsi, p. 54</t>
  </si>
  <si>
    <t>Jennie's account of dinner party: Ch'en Chieh-ju (Eastman, Lloyd E. ed.), pp. 186–93</t>
  </si>
  <si>
    <t>‘literally dragged me home': 21 April and 25 May 1921, Papers of Emma DeLong Mills, MSS.2, Wellesley College Archives; H.H. attitude to Canton: K'ung Hsiang-hsi, p. 45; Of Marshal Wu Pei-fu: K'ung Hsiang-hsi, p. 46; with President Hsu Shih-chang: May-ling to Emma, 14 Nov.1918, Papers of Emma DeLong Mills, MSS.2, Wellesley College Archives; K'ung Hsiang-hsi, p. 45; Kungs' life in Beijing: May-ling to Emma, 20 September 1918, 29 October 1918, 9 September 1926, Papers of Emma DeLong Mills, MSS.2, Wellesley College Archives; Chiang rightly surmised: Yang Tian-shi 2010, p. 341; ‘New Strong Man': New York Times, 14 November 1926</t>
  </si>
  <si>
    <t>May-ling appalled: Soong May-ling (Madame Chiang Kai-shek) 1977, pp. 5, 69–75; ‘May-ling, darling': Hahn, Emily 1955, p. 87; conversations with Borodin: Soong May-ling (Madame Chiang Kai-shek) 1977, pp. 7, 60</t>
  </si>
  <si>
    <t>‘fashionably gowned': New York Times, 9 September 1927; Yang Tian-shi 2010, p. 346; their engagement: Yang Tian-shi 2010, p. 347; Meeting Mrs Soong: exhibit, The Chiang Kai-shek Memorial Hall, Taipei; The wedding: May-ling to Emma, 24 January 1928, Papers of Emma DeLong Mills, MSS.2, Wellesley College Archives; Hahn, Emily 2014b, pp. 123–4</t>
  </si>
  <si>
    <t>a flaming row: 29 December 1927, Chiang Kai-shek Diaries, Hoover Institution Archives; ‘rather agreed with her': 30 December 1927, Chiang Kai-shek Diaries, Hoover Institution Archives</t>
  </si>
  <si>
    <t>‘Here was my opportunity': Soong May-ling (Madame Chiang Kai-shek) 1934, p. 133; half of his victory: Chiang Kai-shek: Family Correspondence, 1928; Lu Fang-shang ed., p. 61</t>
  </si>
  <si>
    <t>Marshal Wu Pei-fu: Gu Li-juan and Yuan Xiang-fu, vol. 3, pp. 1708–15; Koo, V. K. Wellington 2013, vol. 1, p. 287; ‘methods of struggle': Huang Xiu-rong et al. eds., 1920–1925, p. 574; ‘thunderous silence': Tuchman, Barbara W., p. 151</t>
  </si>
  <si>
    <t>he talked about how Sun's: 13 April 1931, in Yang Tian-shi 2002, p. 32; English newsreel: YouTube: https://youtube.com/watch?v=Mej3UnDDjoQ</t>
  </si>
  <si>
    <t>‘so we revolutionaries': Sun Yat-sen, Collected Works, speech on ‘tutelage', 1920/11/09, http://sunology.culture.tw/cgi-bin/gs32/s1gsweb.cgi?o=dcorpusands=id=%22SP0000000734%22.andsearchmode=basic; Li Gong-zhong, p. 300; Hu Shih wrote: Hu Shih, vol. 5, pp. 523, 579, 588; Yi Zhu-xian, pp. 292–322; Yang Tian-shi 2008, vol. 1, pp. 177–8</t>
  </si>
  <si>
    <t>‘a reactionary': Hu Shih, vol. 5, p. 525; Wellington Koo's mansion: Koo, V.K. Wellington, Columbia University Archives, Vol. 3, Part 2, Sect. H, J, pp. 304–5; Koo, V.K. Wellington 2013, p. 391; Koo (Madame Wellington Koo), pp. 152–4 ; the Farmers' Bank: Chiang diary, 5 July 1934, in Lu Fang-shang ed., p. 64</t>
  </si>
  <si>
    <t>Chiang to Ei-ling and Mrs Soong: Chiang Kai-shek: Family Correspondence, 1930–1; Sun's old associates: K'ung Hsiang-hsi, pp. 74–7; diaries are littered with: Lu Fang-shang ed., pp. 30, 34</t>
  </si>
  <si>
    <t>In his own family: Lu Fang-shang ed., pp. 28, 69; Chen's two nephews: Wu Kuo-Cheng, pp. 16–17, 134, 190; Ei-ling had Chiang's ear: Lu Fang-shang ed., p. 69; Chiang Kai-shek: Family Correspondence, passim; ‘do the minimum': Hu Shih, vol. 5, p. 588</t>
  </si>
  <si>
    <t>‘have no shame': Huang Zi-jin and Pan Guang-zhe, vol. 1, pp. 602–7</t>
  </si>
  <si>
    <t>other gunmen shot at Chiang: New York Times, 30 July 1931; Chiang Kai-shek: Family Correspondence, 2 August 1931; ‘the depths of despair': Soong May-ling (Madame Chiang Kai-shek) 1934, p. 133</t>
  </si>
  <si>
    <t>Sheean on Ching-ling: Sheean, Vincent, p. 208; ‘the contrast between her': Snow, Edgar, p. 82</t>
  </si>
  <si>
    <t>‘opportunism on both sides': Snow, Edgar, p. 85; meeting with Stalin: Zhang Ke, in Epstein, Israel, p. 218–19; The Comintern: Shanghai Managing Committee of the Historical Objects of Sun Yat-sen and Soong Ching-ling ed., vol. 1, p. 145; vol. 2, pp. 90–3; Mrs Soong wrote: Li Yun, in Soong Ching-ling Memorial Committee ed., p. 206</t>
  </si>
  <si>
    <t>Mao and others on Deng Yan-da: Mei Ri-xin and Deng Yan-chao eds., pp. 1, 245, 248; Chinese Peasants' and Workers' Democratic Party Central Committee ed., p. 129; Deng Yan-da (Mei Ri-xin and Deng Yan-chao eds.), p. 127; Yan-da meeting with Stalin: Zhang Ke, in Epstein, Israel, p. 217–18; Yan-da views: Deng Yan-da (Mei Ri-xin and Deng Yan-chao eds.), pp. 261–2, 462; Yan-da wrote Ching-ling: Shanghai Managing Committee of the Historical Objects of Sun Yat-sen and Soong Ching-ling ed., vol. 1, pp. 140–5; vol. 2, pp. 87–9</t>
  </si>
  <si>
    <t>Yan-da goodbye to Ching-ling: Mei Ri-xin and Deng Yan-chao eds., p. 6; ‘Falling in Love Again': Soong Ching-ling (Soong Ching-ling Foundation et al. eds.), pp. 269–74; ‘Mother-in-law of the Country': North China Herald, 28 July 1931; French Concession police recorded: Shanghai Managing Committee of the Historical Objects of Sun Yat-sen and Soong Ching-ling ed., vol. 4, pp. 198–200</t>
  </si>
  <si>
    <t>‘I've come to mediate': Epstein, Israel, p. 258; Chinese Peasants' and Workers' Democratic Party Central Committee ed., p. 143; ‘downfall': Soong Ching-ling 1992, pp. 83–6; New York Times, Magazine, 10 January 1932; Ching-ling joins the Comintern: Yang Kui-song 2003</t>
  </si>
  <si>
    <t>I was smitten hard: Isaacs, Harold, p. 64; Liao Cheng-zhi: article in People's Daily, 29 May 1982; Yang Kui-song 2003</t>
  </si>
  <si>
    <t>‘car accident' vetoed: Shen Zui, pp. 60–4; Ye Bang-zong, pp. 32–4; sweet memories: interview with a member of May-ling's household in New York, 21 October 2015; ‘stood alone': Chiang Ching-kuo (Zhou Mei-hua and Xiao Li-ju eds.), vol. 2, p. 163; May-ling also sympathised: Chiang Ching-kuo (Zhou Mei-hua and Xiao Li-ju eds.), vol. 2, p. 564</t>
  </si>
  <si>
    <t>‘considerably more tolerant': Yi Zhu-xian, pp. 349, 353; Ching-ling helped push Hu: Soong Ching-ling (Shang Ming-xuan et al. eds.), vol. 1, pp. 270–4; Yi Zhu-xian, pp. 348–55</t>
  </si>
  <si>
    <t>‘May-ling Palace': http://baike.baidu.com/view/64757.htm?fromtitle=宋美龄别墅andfromid=5176397andtype=syn#reference-[5]-64757–wrap; https://baike.baidu.com/pic/美龄宫/1173649/0/29381f30e924b899e3e980d968061d950b7bf67e?fr=lemmaandct=single#aid=0andpic=a50f4bfbfbedab648ab61d20f136afc378311e0</t>
  </si>
  <si>
    <t>‘nothing but a little village': Hahn, Emily 2014b, p. 126; Chiang would miss her: Lu Fang-shang ed., pp. 22, 71–3, 80; in vacated Red areas: Soong May-ling (Madame Chiang Kai-shek) 1934, p. 134; Soong May-ling (Madame Chiang Kai-shek) 1935a, pp. 75–8</t>
  </si>
  <si>
    <t>Ei-ling stepped into mother's role: Soong May-ling (Madame Chiang Kai-shek) 1955, pp. 11, 29; ‘I was driven back': Soong May-ling (Madame Chiang Kai-shek) 1934, pp. 133–4</t>
  </si>
  <si>
    <t>launching New Life Movement: Soong May-ling (Madame Chiang Kai-shek) 1935b, pp. 355–7; ‘old, dirty, and repulsive': Leonard, Royal, p. 110; ‘more disturbed': Soong May-ling (Madame Chiang Kai-shek) 1934, p. 131; ‘if a man were sloppy': Soong May-ling (Madame Chiang Kai-shek) 1935b, p. 357</t>
  </si>
  <si>
    <t>Hu Shih wrote: Duli Pinglun, Issue 95, 8 April 1934; Hu Shih, vol. 11, pp. 419–22; May-ling reaction: Soong May-ling (Madame Chiang Kai-shek) 1935b, p. 355; 1934, p. 134; Soong May-ling and Chiang Kai-shek, p. 44; ‘like the president': Gunther, John, p. 234</t>
  </si>
  <si>
    <t>Christmas Day 1934: Soong May-ling (Madame Chiang Kai-shek) 1935a, p. 75; cf. Soong May-ling (Madame Chiang Kai-shek) 1934, p. 131; New Year's Eve: Soong May-ling (Madame Chiang Kai-shek) 1935a, p. 76</t>
  </si>
  <si>
    <t>Chapter 13: Getting Chiang's Son Back from Stalin's Clutches</t>
  </si>
  <si>
    <t>Shao Li-tzu: People's University ed., pp. 81–3; CPPCC 1985, p. 241; Chang, Jung and Halliday, Jon, Index: Shao Li-tzu</t>
  </si>
  <si>
    <t>Ching-ling to Chiang about hostage swap: 16 December 1931, Chiang Kai-shek Diaries, Hoover Institution Archives; Shanghai Managing Committee of the Historical Objects of Sun Yat-sen and Soong Ching-ling ed., vol. 2, p. 56; ‘In the past few days': Yang Tian-shi 2002, pp. 373–4</t>
  </si>
  <si>
    <t>‘showing signs of willingness': Chiang Kai-shek (Chin Hsiao-i ed.), vol. 3, p. 994; Chiang requests for Ching-kuo release: Yang Tian-shi 2002, p. 375; Chiang Ching-kuo, in Cline, Ray S., pp. 178–9; Qi Gao-ru, pp. 365–70; many documents in Russian Foreign Ministry files: interview with Jon Halliday</t>
  </si>
  <si>
    <t>Chapter 14: ‘A woman protects a man'</t>
  </si>
  <si>
    <t>‘I would have done': Snow, Edgar, p. 94; H.H. message to Stalin: Li Jin-zhou ed., p. 83</t>
  </si>
  <si>
    <t>‘with good motives': Soong May-ling and Chiang Kai-shek, pp. 44–5</t>
  </si>
  <si>
    <t>Leonard recorded: Leonard, Royal, pp. 107–8; ‘I wanted to': Hahn, Emily 2014b, p. 207</t>
  </si>
  <si>
    <t>Leonard saw that: Leonard, Royal, p. 108; May-ling's account: Soong May-ling and Chiang Kai-shek; Chen Li-fu and Dai Ji-tao: Yang Tian-shi 1998, pp. 464–9</t>
  </si>
  <si>
    <t>Ei-ling setting up hospital: Hahn, Emily 2014b, pp. 218–19; ‘extraordinarily excited': Soong Ching-ling (Shang Ming-xuan et al. eds.), vol. 1, p. 345; May-ling visiting hospital: Selle, Earl Albert, pp. 339–40</t>
  </si>
  <si>
    <t>‘avenge shame': Chiang Kai-shek Diaries, Hoover Institution Archives; ‘What a life!': 26 September and 12 December 1938, Papers of Emma DeLong Mills, MSS.2, Wellesley College Archives</t>
  </si>
  <si>
    <t>‘I am covered': Pakula, Hannah, p. 356; ‘raging infernos': 10 May 1939, Papers of Emma DeLong Mills, MSS.2, Wellesley College Archives</t>
  </si>
  <si>
    <t>French-grammar book: Soong May-ling (Madame Chiang Kai-shek) 1955, p. 16; May-ling about ‘our people': 10 May, 1 November and 10 November 1939, 10 April 1941, Papers of Emma DeLong Mills, MSS.2, Wellesley College Archives; Soong May-ling (Madame Chiang Kai-shek) 1955, p. 17; ‘we shall fight on': 10 November 1939, Papers of Emma DeLong Mills, MSS.2, Wellesley College Archives</t>
  </si>
  <si>
    <t>‘My God, that face': Alsop, Joseph W., p.174; Chennault on May-ling: Chennault, Claire Lee, pp. 35, 54–5; Sebie Biggs Smith: Smith, Sebie Biggs, Columbia University Archives, OHRO/PRCQ, No. 1392</t>
  </si>
  <si>
    <t>a ‘squeeze': Pakula, Hannah, p. 290; May-ling – Chiang cables: Chiang Kai-shek: Family Correspondence, p. 28</t>
  </si>
  <si>
    <t>Kung's corrupt practice: K'ung Hsiang-hsi, pp. 128, 142–3; Shou Chong-yi ed., passim; I Fu-en, p. 130; Gunther, John, pp. 230–2</t>
  </si>
  <si>
    <t>‘Mme Kung's voice shook': Hahn, Emily 2014b, p. 93; $100 million: Shou Chong-yi ed., pp. 79–80, 84–5</t>
  </si>
  <si>
    <t>Kung felt, he revealed: K'ung Hsiang-hsi, pp. 128–34</t>
  </si>
  <si>
    <t>Jeanette's relationship with May-ling: interviews with Dr Jan Kung-ming, Jeanette's physician, who also treated May-ling; Chen Li-wen ed., 2014, pp. 111, 197–202; Shong Wen, pp. 150–8; Shou Chong-yi ed., pp. 28–9, 86–90, 104–5, 260</t>
  </si>
  <si>
    <t>at a dinner party: Tuchman, Barbara W., p. 234; A favourite retort: Hahn, Emily 2014b, p. 256; Lauchlin Currie complained: Shou Chong-yi ed., p. 32; H.H. cabled: K'ung Hsiang-hsi, p. 146; Rosamonde: Shou Chong-yi ed., p. 12; Soong Ching-ling (Shanghai Soong Ching-ling Memorial Residence ed.), p. 422; Ei-ling's conviction: Soong Ching-ling (Shanghai Soong Ching-ling Memorial Residence ed.), pp. 124–5</t>
  </si>
  <si>
    <t>Chapter 16: Red Sister's Frustration</t>
  </si>
  <si>
    <t>‘It is a matter': Soong Ching-ling 1952, p. 107</t>
  </si>
  <si>
    <t>Evans Carlson: Epstein, Israel, pp. 344–6; ‘With co-workers': Epstein, Israel, p. 368; Sir Stafford Cripps: Epstein, Israel, pp. 369–70</t>
  </si>
  <si>
    <t>‘stop suppressing': Soong Ching-ling (Soong Ching-ling Foundation and China Welfare eds.), vol. 1, p. 191; on Yan-da: Soong Ching-ling (Shang Ming-xuan et al. eds.), vol. 1, p. 434; Chinese Peasants' and Workers' Democratic Party Central Committee ed., p. 130; to T.V.: Wu Jing-ping and Kuo Tai-chun 2008a, p. 58</t>
  </si>
  <si>
    <t>He cabled May-ling: Wu Jing-ping and Kuo Tai-chun 2008a, p. 58; Ei-ling persuaded Ching-ling to leave: Chiang Ching-kuo (Zhou Mei-hua and Xiao Li-ju eds.), vol. 2, pp. 162–3; Wu Jing-ping and Kuo Tai-chun 2008a, p. 58; ‘the Ta Kung Pao': Wu Jing-ping and Kuo Tai-chun 2008a, p. 58</t>
  </si>
  <si>
    <t>The demonstrators shouted: Yang Tian-shi 2010, pp. 257–64; Zhou En-lai to Mao: Soong Ching-ling (Shang Ming-xuan et al. eds.), vol. 1, pp. 437–8; ‘The sisters are so kind': Wu Jing-ping and Kuo Tai-chun 2008a, p. 58; Hahn, Emily 2014a, p. 183; ‘not care about': Wu Jing-ping and Kuo Tai-chun 2008a, p. 58; Ching-ling life in Chongqing: Soong Ching-ling (Soong Ching-ling Foundation and China Welfare eds.), vol. 1, pp. 205–16; Epstein, Israel, p. 414</t>
  </si>
  <si>
    <t>John Melby: Melby, John F., p. 121; ‘so Fifth Avenue': Epstein, Israel, pp. 418–19; ‘No stockings': Epstein, Israel, p. 415</t>
  </si>
  <si>
    <t>Chapter 17: Little Sister's Triumph and Misery</t>
  </si>
  <si>
    <t>Wendell Willkie: Tuchman, Barbara W., p. 428; Soong Ching-ling (Soong Ching-ling Foundation et al. eds.), vol. 1, pp. 216–17 (Ching-ling on Willkie); ‘I visualize': 14 January 1939, Papers of Emma DeLong Mills, MSS.2, Wellesley College Archives</t>
  </si>
  <si>
    <t>writing and rewriting speeches: interview with a member of May-ling's household in New York, 21 October 2015; he was worried: Chiang Kai-shek: Family Correspondence, p. 30</t>
  </si>
  <si>
    <t>silk sheets change: Tuchman, Barbara W., p. 448; Chiang Ching-kuo (Zhou Mei-hua and Xiao Li-ju eds.), vol. 2, p. 648; cf. Yang Tian-shi 2008, vol. 2, p. 533; complaints about David and Jeanette: DeLong, Thomas A., p. 184; Tuchman, Barbara W., p. 449; David as her ‘secretary': Koo, V.K. Wellington, Columbia University Archives, Vol. 5, Part E, pp. 748, 806; Chiang repeated entreaties: Chiang Kai-shek: Family Correspondence, pp. 29–30; Chiang diaries, in Yang Tian-shi 2008, vol. 2, p. 519</t>
  </si>
  <si>
    <t>The day May-ling returned: 5 July 1943, Chiang Kai-shek Diaries, Hoover Institution Archives; gloom marred reunion: July 1943, Chiang Kai-shek Diaries, Hoover Institution Archives; Yang Tian-shi 2008, vol. 2, pp. 533–42; On the plane to Cairo: 20 and 21 November 1943, Chiang Kai-shek Diaries, Hoover Institution Archives; ‘had a particularly thin time': 6 April 1944, Papers of Emma DeLong Mills, MSS.2, Wellesley College Archives</t>
  </si>
  <si>
    <t>‘This morning my wife': 26 November 1943, Chiang Kai-shek Diaries, Hoover Institution Archives; Winston Churchill: 22 November 1943, Chiang Kai-shek Diaries, Hoover Institution Archives; ‘Over my dead body': Koo, V.K. Wellington, Columbia University Archives, Vol. 5, Part E, p. 794</t>
  </si>
  <si>
    <t>‘What joy': 31 December 1943, Chiang Kai-shek Diaries, Hoover Institution Archives; Dr Moran: Moran, Lord, p. 151</t>
  </si>
  <si>
    <t>‘The Chinese soldier': Tuchman, Barbara W., p. 246; Roosevelt wrote Chiang: Tuchman, Barbara W., pp. 584–5, 600; besieged by nightmares: Yang Tian-shi 2008, vol. 2, p. 536</t>
  </si>
  <si>
    <t>‘an attempt to get away': Lattimore, Owen, p. 186; approached member of mission: Lattimore, Owen, p. 186; told her husband tearfully: Yang Tian-shi 2008, vol. 2, p. 536; farewell party: Yang Tian-shi 2008, vol. 2, pp. 526–9; Truman believed: Miller, Merle, p. 310; ‘her priceless sable': Pakula, Hannah, p. 504</t>
  </si>
  <si>
    <t>‘what is the noise about': date missing, August 1945, Chiang Kai-shek Diaries, Hoover Institution Archives; Mexican ambassador: date missing, August 1945, Chiang Kai-shek Diaries, Hoover Institution Archives</t>
  </si>
  <si>
    <t>‘come as summoned': 31 August 1945, Chiang Kai-shek Diaries, Hoover Institution Archives; ‘I don't feel ready to go': DeLong, Thomas A., p. 191; Mao in Chongqing: Chang, Jung and Halliday, Jon, Chapter 27; Chiang Kai-shek (Chin Hsiao-i ed.), vol. 5, p. 2681; interview with Chen Li-fu, 15 February 1993</t>
  </si>
  <si>
    <t>state-of-the-art C-54: I Fu-en, pp. 107–9; Epstein, Israel, p. 424; ‘slaves who have no country': Chang, Jung 1991, Chapter 4; Wu Kuo-Cheng, pp. 2–9, 38, 187</t>
  </si>
  <si>
    <t>‘The last few months': 12 June 1946, Papers of Emma DeLong Mills, MSS.2, Wellesley College Archives; John Beal recalled: Beal, John Robinson, pp. 100–1; hankered for New York: 12 June, 31 August, 1 November 1946, 23 April 1947, 14 December 1948, Papers of Emma DeLong Mills, MSS.2, Wellesley College Archives</t>
  </si>
  <si>
    <t>May-ling bitterly upset: 23 and 27 November 1948, Chiang Kai-shek Diaries, Hoover Institution Archives; Yang Tian-shi 2014, pp. 217–18; President Truman: Miller, Merle, p. 309; ‘Time and God': Soong May-ling (Madame Chiang Kai-shek) 1955, p. 26; ‘I wish I could fly back': Chiang Ching-kuo (Zhou Mei-hua and Xiao Li-ju eds.), vol. 1, p. 83; correspondence pp. 68–108; Chiang Kai-shek: Family Correspondence, pp. 34ff</t>
  </si>
  <si>
    <t>May-ling suggested rashly: Chiang Ching-kuo (Zhou Mei-hua and Xiao Li-ju eds.), vol. 1, pp. 85–7; Chiang–May-ling telegrams: Chiang Ching-kuo (Zhou Mei-hua and Xiao Li-ju eds.), vol. 1, pp. 77ff; Chiang Kai-shek: Family Correspondence, pp. 34ff; Ei-ling ‘protest': Soong May-ling (Madame Chiang Kai-shek) 1955, p. 23</t>
  </si>
  <si>
    <t>1 December 1949: Chiang Kai-shek: Family Correspondence, p. 38; ‘I had accompanied': Soong May-ling (Madame Chiang Kai-shek) 1955, pp. 23, 26; ‘I heard a Voice': Soong May-ling (Madame Chiang Kai-shek) 1955, pp. 23–4, cf. pp. 13–14</t>
  </si>
  <si>
    <t>‘listened to [her] report': 13 January 1950, Chiang Kai-shek Diaries, Hoover Institution Archives; legendary heroes: Reflection of the week, 1950, Chiang Kai-shek Diaries, Hoover Institution Archives</t>
  </si>
  <si>
    <t>Chapter 19: ‘We must crush warm-feeling-ism': Being Mao's Vice Chairman</t>
  </si>
  <si>
    <t>‘The day…at last come!': Zheng Peng-nian, p. 237; Soong Ching-ling (Shang Ming-xuan et al. eds.), vol. 2, p. 680; Ching-ling declined to go to Beijing: Soong Ching-ling (Shanghai Soong Ching-ling Memorial Residence ed.), vol. 2, pp. 175, 203, 206; Soong Ching-ling (Soong Ching-ling Foundation and China Welfare eds.), pp. 62, 188–9; Zhou En-lai, vol. 1, pp. 18, 47; ‘for medical treatment': Zhou En-lai, vol. 1, pp. 47–54; accepted the invitation: Soong Ching-ling (Shang Ming-xuan et al. eds.), vol. 2, p. 684; Zhou En-lai, vol. 1, pp. 47–54</t>
  </si>
  <si>
    <t>‘how our homeland': Epstein, Israel, p. 479; ‘I am really getting': Epstein, Israel, p. 548</t>
  </si>
  <si>
    <t>donated family properties: Soong Ching-ling (China Welfare ed.), p. 148; ‘shameless falsification': Soong Ching-ling (Shanghai Soong Ching-ling Memorial Residence ed.), vol. 2, p. 227; East German reception: Soong Ching-ling (Soong Ching-ling Foundation et al. eds.), p. 277; Christmas party: Soong Ching-ling (Soong Ching-ling Foundation et al. eds.), pp. 279, 335</t>
  </si>
  <si>
    <t>Edgar Snow: Soong Ching-ling (Soong Ching-ling Foundation and China Welfare eds.), vol. 2, p. 292; ‘“burn” or “destroy”': e.g. Soong Ching-ling (Soong Ching-ling Foundation et al. eds.), p. 288; In ‘the Three Antis': Soong Ching-ling (Soong Ching-ling Foundation et al. eds.), pp. 286, 289–90, 296–7; ‘the right-wing way': Soong Ching-ling (Soong Ching-ling Foundation et al. eds.), p. 297</t>
  </si>
  <si>
    <t>Liu Shao-qi visits: Soong Ching-ling Memorial Committee ed., p. 187; ‘Dear Elder Sister': Soong Ching-ling (Shang Ming-xuan et al. eds.), vol. 2, p. 917; Sukarno of Indonesia: Soong Ching-ling (Shanghai Soong Ching-ling Memorial Residence ed.), p. 409; Soong Ching-ling (Shang Ming-xuan et al. eds.), vol. 2, pp. 943–8; Soong Ching-ling (China Welfare ed.), p. 144; Ching-ling–Ei-ling: Soong Ching-ling (Shanghai Soong Ching-ling Memorial Residence ed.), pp. 421–2</t>
  </si>
  <si>
    <t>‘the correct view': Soong Ching-ling 1992, vol. 2, p. 288</t>
  </si>
  <si>
    <t>‘We must crush warm-feeling-ism': People's Daily, 10 September 1957; Backyard furnace: Soong Ching-ling (Shang Ming-xuan et al. eds.), vol. 2, p. 1012; Soong Ching-ling (China Welfare ed.), p. 103; ‘I feel very tense': Li Yun; to Anna Wang: Soong Ching-ling (Soong Ching-ling Foundation et al. eds.), p. 346</t>
  </si>
  <si>
    <t>‘Let her finish her pee': Yolanda Sui's interviews, http://history.sina.com.cn/bk/wgs/2015–004-13/1440118715.shtml; https://v.qq.com/x/page/t0163kzni44.html; Tang Xiong 2006, p. 207</t>
  </si>
  <si>
    <t>Chapter 20: ‘I have no regrets'</t>
  </si>
  <si>
    <t>‘The news made': Shanghai Managing Committee of the Historical Objects of Sun Yat-sen and Soong Ching-ling ed., vol. 1, p. 259; Yolanda later remarked: yolanda television interview with Lu Yu, https://tv.sohu.com/v/dXMvMzM4NDUwMzYxLzExNzkwMTUzNS5zaHRtbA==.html</t>
  </si>
  <si>
    <t>cousin Ni Ji-zhen: He Da-zhang, pp. 189–94; ‘partly responsible': Soong Ching-ling (Soong Ching-ling Foundation et al. eds.), pp. 401–2</t>
  </si>
  <si>
    <t>‘The truth is that his clothes': Soong Ching-ling (Shang Ming-xuan et al. eds.), vol. 2, p. 1180; saw adopted daughters: Soong Ching-ling (Soong Ching-ling Foundation et al. eds.), pp. 395–6; Tang Xiong 2006, pp. 204–8</t>
  </si>
  <si>
    <t>China's ‘holocaust': Soong Ching-ling (China Welfare ed.), p. 39; ‘It was good': Ching-ling to Paul Lin, 11 June 1972, Paul T. K. Lin Papers, Hong Kong University of Science and Technology Archives; Israel Epstein: Soong Ching-ling (Soong Ching-ling Foundation et al. eds.), pp. 452–3; cf. Soong Ching-ling (China Welfare ed.), p. 74; ‘This is no way': Soong Ching-ling (China Welfare ed.), p. 94; ‘They said she came': Soong Ching-ling (Soong Ching-ling Foundation et al. eds.), p. 459; Zhou smoothing her life: Soong Ching-ling (Shang Ming-xuan et al. eds.), vol. 2, p. 1249</t>
  </si>
  <si>
    <t>Mao died: Soong Ching-ling (Shang Ming-xuan et al. eds.), vol. 2, p. 1263; Soong Ching-ling (China Welfare ed.), p. 129; ‘have no regrets': Yolanda interviews on television, https://www.youtube.com/watch?v=RRrPJo1gAyk; with Huanqiu Renwu (Global Personalities), http://history.sina.com.cn/bk/wgs/2015–04-13/1440118715.shtml; Mao on Jiang Qing: Chang, Jung and Halliday, Jon, beginning of Chapter 47, and last para of Chapter 56</t>
  </si>
  <si>
    <t>‘very relaxed': Yolanda interview with Huanqiu Renwu (Global Personalities), http://history.sina.com.cn/bk/wgs/2015–04-13/1440118715.shtml; her health problems: Soong Ching-ling (Soong Ching-ling Foundation et al. eds.), pp. 456–8; doted on adopted daughters: Soong Ching-ling (Soong Ching-ling Foundation et al. eds.), pp. 516, 555–6, 595, 562, 602, 616, 670, etc.; Epstein, Israel, p. 591; Tang, Earnest, pp. 120–3; Yolanda interview with Lu Yu, http://phtv.ifeng.com/a/20160624/41628425_0.shtml; Soong Ching-ling (China Welfare ed.), p. 115</t>
  </si>
  <si>
    <t>Fox Butterfield: Butterfield, Fox, p. 130; ‘You are too late': Yolanda interview with Huanqiu Renwu (Global Personalities), http://history.sina.com.cn/bk/wgs/2015–04-13/1440118715.shtml</t>
  </si>
  <si>
    <t>‘I hope somebody eligible': Epstein, Israel, p. 592; Yolanda interview, https://v.qq.com/x/page/t0163kzni44.html; Yolanda wedding and after: Butterfield, Fox, p. 131; Soong Ching-ling (Soong Ching-ling Foundation et al. eds.), pp. 663–70; Isaacs, Harold, p. 69; Yolanda interviews; Tang, Earnest, pp. 126–7; protective about Yong-jie: Soong Ching-ling (Soong Ching-ling Foundation et al. eds.), pp. 533, 555, 608–9, 618; Soong Ching-ling (China Welfare ed.), p. 186; Tang, Earnest, pp. 114, 123–5</t>
  </si>
  <si>
    <t>Harold Isaacs wrote: Isaacs, Harold, pp. 69–72; ‘my Little Treasure': Yolanda interview with Huanqiu Renwu (Global Personalities), http://history.sina.com.cn/bk/wgs/2015–04–13/1440118715.shtml; Tang, Earnest, p. 127</t>
  </si>
  <si>
    <t>Mrs Liu said to her: Soong Ching-ling (Shang Ming-xuan et al. eds.), vol. 2, p. 1430; Little Sister refused to reply: Chiang Ching-kuo (Zhou Mei-hua and Xiao Li-ju eds.), p. 152; ‘astonished to discover': Isaacs, Harold, p. 73; cf. Tang, Earnest, p. 134</t>
  </si>
  <si>
    <t>‘My Testament': Tang, Earnest, pp. 112–6, 140–1; Yolanda and Yong-jie chief beneficiaries: Shiji (The Century), February 2008; Tang, Earnest, p. 127</t>
  </si>
  <si>
    <t>‘Why had the communists': Soong May-ling (Madame Chiang Kai-shek) 1955, p. 27–31</t>
  </si>
  <si>
    <t>‘Chiang-style head': Weng Yuan (with Wang Feng), p. 61</t>
  </si>
  <si>
    <t>‘painting, painting': 19 December 1953, Papers of Emma DeLong Mills, MSS.2, Wellesley College Archives</t>
  </si>
  <si>
    <t>Ching-kuo–May-ling: Chiang Ching-kuo (Zhou Mei-hua and Xiao Li-ju eds.), vol. 1, pp. 198ff; vol. 2, p. 4; Emma noted in her diary: 28 December 1958, DeLong, Thomas A., p. 213; ‘the President's inauguration': 30 May 1960, Papers of Emma DeLong Mills, MSS.2, Wellesley College Archives</t>
  </si>
  <si>
    <t>‘a very happy': 10 December 1962, T.V. Soong Papers, Box 61, folder no. 31, Hoover Institution Archives; ‘perfect darlings': 14 July 1956, to T.V., T.V. Soong Papers, Box 61, folder no. 31, Hoover Institution Archives; Her photographer: Huang Ke-wu et al., vol. 2, p. 485</t>
  </si>
  <si>
    <t>‘change the colour': Huang Ke-wu et al., vol. 2, pp. 295, 432–4; Weng Yuan (with Wang Feng), pp. 112–13</t>
  </si>
  <si>
    <t>‘We are afflicted': Chen Li-wen ed. 2014, p. 92; ‘I am hopeful': 8 June 1972, Papers of Emma DeLong Mills, MSS.2, Wellesley College Archives; Chiang hated Nixon violently: November 1971ff, Chiang Kai-shek Diaries, Hoover Institution Archives; Yang Tian-shi 2014, pp. 217–18; wrath towards David: 14 and 25 December 1971, Chiang Kai-shek Diaries, Hoover Institution Archives; Yang Tian-shi 2014, p. 217; ‘The president is well': Huang Ke-wu et al., vol. 1, pp. 252–3; had a stroke: Shong Wen, pp. 118–19, 126; Weng Yuan (with Wang Feng), pp. 199–201, 233–8</t>
  </si>
  <si>
    <t>‘You are my own flesh': interview with a relative who wishes to remain anonymous; tried to make David finance minister: Huang Ke-wu et al., vol. 1, pp. 304, 338; vol. 2, p. 165</t>
  </si>
  <si>
    <t>‘vexation and annoyance': 20 July 1972, Chiang Kai-shek Diaries, Hoover Institution Archives; signalling David was not included: 21 July 1972, Chiang Kai-shek Diaries, Hoover Institution Archives; Chiang sank into a coma: Weng Yuan (with Wang Feng), pp. 208–10, 223–8; May-ling breast cancer: Chen Li-wen ed. 2014, p. 195; Shong Wen, p. 121; Huang Ke-wu et al., vol. 1, p. 386; When Chiang died, May-ling: Huang Ke-wu et al., vol. 1, p. 615; vol. 2, p. 461; Chen Li-wen ed. 2014, pp. 45–6, 667; In contrast, Ching-kuo: Chen Li-wen ed. 2014, pp. 45–6; Huang Ke-wu et al., vol. 1, p. 666; Chiang Ching-kuo (Zhou Mei-hua and Xiao Li-ju eds.), vol. 2, p. 29</t>
  </si>
  <si>
    <t>‘Listen, Brother Chiang': Huang Ke-wu et al., vol. 2, pp. 482–3</t>
  </si>
  <si>
    <t>$250,000 to Jennie: Ch'en Chieh-ju, pp. 5–10; provider of the family: Shong Wen, p. 172; interview with a relative who wishes to remain anonymous; H.H. boasted: K'ung Hsiang-hsi, pp. 114, 121–3, 147</t>
  </si>
  <si>
    <t>Debra Paget, mother, Elvis: interview with relatives who wish to remain anonymous; https://www.pinterest.com/pin/308848486919331646/; Milton Berle interview with Elvis, https://www.youtube.com/watch?v=8x0uKy5GfMw; Shearer, Lloyd (15 July 1956), ‘More glamor for Hollywood', Albuquerque Journal, pp. 68–9, Newspapers.com; https://en.wikipedia.org/wiki/Debra_Paget – cite_note-aj-2; ‘When You Wish Upon a Star, or It's a Star-Spangled Life: Family Cast' at the Wayback Machine; http://www.elvis-history-blog.com/debra-paget.html; https://www.elvispresleyphotos.com/celebrities/debra-paget.html; https://www.newspapers.com/clip/2595360/the_san_bernardino_county_sun/</t>
  </si>
  <si>
    <t>‘I looked forward to': https://www.elvis.com.au/presley/interview-milton-berle-elvis-presley.shtml; https://www.elvispresleyphotos.com/celebrities/debra-paget.html; Maggie vetoed marriage to Elvis: Debra Paget talks to Rick Stanley (Elvis Presley's step-brother), https://www.youtube.com/watch?v=EBZ5LPeRNJA; Ei-ling–Debra–Louis: https://www.newspapers.com/clip/2595390/independent/; https://www.newspapers.com/clip/2595390/independent/; ‘Debra Paget Weds Oilman, Nephew of Madame Chiang', http://www.glamourgirlsofthesilverscreen.com/show/214/Debra+Paget/index.html</t>
  </si>
  <si>
    <t>the Westlin Bunker: https://www.google.co.uk/search?q=westlin+bunkerandtbm=ischandimgil=5axDGk-o2mwycM%3A%3BSYgUZJduRR2OnM%3Bhttp%3A%2F%2Fwww.houstonarchitecture.com%2FBuilding%2F2124%2FThe-Westlin-Bunker.phpandsource=iuandpf=mandfir=5axDGk-o2mwycM%3A%2CSYgUZJduRR2OnM%2C_andusg=__Oy5SF_7nb4TeMhfR9FthaHc7n3I%3Dandbiw=1407andbih=892andved=0ahUKEwjO_PSb9PnVAhUoJ8AKHT8GD20QyjcIXgandei=mQmkWY7MKajOgAa_jLzoBg#imgrc=zP9BUecaM81YeM; http://www.houstonarchitecture.com/Building/2124/The-Westlin-Bunker.php; Wall Street Journal, 2 October 2006, ‘Continental Airlines Finds a Safe Haven In a Texas Bunker'; Melanie Trottman, ‘Cold War Relic Gets New Use By Companies Worried About the Next Big Storm', https://cryptome.org/eyeball/cal-bunker/cal-bunker.htm; interview with T.V.'s grandson Michael Feng, 26 January 2016</t>
  </si>
  <si>
    <t>Louis–May-ling–T.V.: T.V. to May-ling, 22 March 1969, T.V. Soong Papers, Box 61, folder no. 31, Hoover Institution Archives; Huang Ke-wu et al., vol. 1, pp. 403–7; interview with grandson Michael Feng, 19 October 2015; ‘We're the best of friends': http://www.glamourgirlsofthesilverscreen.com/show/214/Debra+Paget/index.html</t>
  </si>
  <si>
    <t>relationship with Kungs: K'ung Hsiang-hsi, passim; T.V. letters, in T.V. Soong Papers, Box 61, folder no. 32, Hoover Institution Archives; interview with grandson Michael Feng, 19 October 2015; May-ling told her brother: 2 July 1962, T.V. Soong Papers, Box 61, folder no. 31, Hoover Institution Archives</t>
  </si>
  <si>
    <t>Ching-ling re T.A. death: Epstein, Israel, p. 563; Chiang resentful towards T.V.: 15 April 1971, Chiang Kai-shek Diaries, Hoover Institution Archives; ‘The family deeply': 9 November 1971, Papers of Emma DeLong Mills, MSS.2, Wellesley College Archives; Ei-ling did not attend: May-ling to Emma, 15 March and 9 November 1971, Papers of Emma DeLong Mills, MSS.2, Wellesley College Archives; When H.H. Kung died: 24 August 1967, Papers of Emma DeLong Mills, MSS.2, Wellesley College Archives; Chiang Ching-kuo (Zhou Mei-hua and Xiao Li-ju eds.), vol. 1, pp. 315–22; vol. 2, p. 624</t>
  </si>
  <si>
    <t>When Ei-ling was dying: 12 May 1969, 7 December 1973, Papers of Emma DeLong Mills, MSS.2, Wellesley College Archives; Shong Wen, p. 172; Jeanette devotion to her aunt: interviews with Dr Jan Kung-ming, Jeanette's physician, who also treated May-ling; Shong Wen, pp. 149–58; Huang Ke-wu et al., vol. 1, pp. 246, 256, 391–2; vol. 2, pp. 164, 392–5, 406; Congress reception for May-ling: Chen Li-wen ed. 2014, pp. 112–13, 219–30, 264; interview with a member of May-ling's household in New York who wishes to remain anonymous, 21 October 2015</t>
  </si>
  <si>
    <t>‘When you were small': Chen Li-wen ed. 2014, p. 55</t>
  </si>
  <si>
    <t>she told Ching-kuo: Chiang Ching-kuo (Zhou Mei-hua and Xiao Li-ju eds.), vol. 2, pp. 3–29, 92–9, 677–86; ‘Deng the Bandit': Chiang Ching-kuo (Zhou Mei-hua and Xiao Li-ju eds.), vol. 2, pp. 601, 607, 675; sat up all night: interview with a member of May-ling's household in New York who wishes to remain anonymous, 21 October 2015; Chiang Ching-kuo (Zhou Mei-hua and Xiao Li-ju eds.), vol. 2, pp. 152–3</t>
  </si>
  <si>
    <t>Ei-ling journey to America: Burke, James, pp. 157–68; Clark, Elmer T., pp. 46–8; Hahn, Emily 2014b, p. 42; http://www.wesleyancollege.edu/about/soongsisters.cfm</t>
  </si>
  <si>
    <t>The assassination of Chen: Chen Qi-mei (Mo Yong-ming and Fan Ran eds.), pp. 426ff; Sun Yat-sen, Collected Works, letter to Huang Xing, 1916/05/20, http://sunology.culture.tw/cgi-bin/gs32/s1gsweb.cgi?o=dcorpus&amp;s=id=%22TG0000001707%22.&amp;searchmode=basic</t>
  </si>
  <si>
    <t>After he was shot dead: Chiang Kai-shek (Chin Hsiao-i ed.), vol. 1, pp. 22–3; Sun Yat-sen, Collected Works, cable of condolences to the family of Chen Qui-mei, 1916/05, http://sunology.culture.tw/cgi-bin/gs32/s1gsweb.cgi?o=dcorpus&amp;s=id=%22TG0000001718%22.&amp;searchmode=basic; request for a state burial for Chen Qi-mei, 1916/05, http://sunology.culture.tw/cgi-bin/gs32/s1gsweb.cgi?o=dcorpus&amp;s=id=%22TG0000001794%22.&amp;searchmode=basic; Ching-ling jumped onto next ship: Soong Ching-ling (Shang Ming-xuan et al. eds.), vol. 1, pp. 89–90</t>
  </si>
  <si>
    <t>Ei-ling and May-ling to Beijing: May-ling to Liao Cheng-zhi, 1982–8–17, https://www.bannedbook.org/bnews/zh-tw/lishi/20120916/664998.html</t>
  </si>
  <si>
    <t>Yolanda–Mama: Yolanda interviews, http://history.sina.com.cn/bk/wgs/2015–04-13/1440118715.shtml; https://v.qq.com/x/page/t0163kzni44.html;</t>
  </si>
  <si>
    <t>Mrs Sui: Tang Xiong 2006, pp. 168–9; Tang Xiong, in Woodpecker magazine, 2005, issue 7, http://www.360doc.com/content/15/0113/22/7915662_440550733.shtml;</t>
  </si>
  <si>
    <t>affection for natural family: Yolanda interviews, https://tv.sohu.com/v/dXMvMzM4NDUwMzYxLzExNzkwMTUzNS5zaHRtbA==.html; https://v.qq.com/x/page/t0163kzni44.html; accused Snow: Tang, Earnest, p. 101</t>
  </si>
  <si>
    <t>Chiang centenary: https://www.youtube.com/watch?v=les3zpWSPXs</t>
  </si>
  <si>
    <t>She had mixed feelings: her speech 7 July 1988, http://blog.sciencenet.cn/blog-51807–883264.html; son Hsiao-yung: Weng Yuan (with Wang Feng), pp. 432–5; Lee alarmed May-ling: Chiang Ching-kuo (Zhou Mei-hua and Xiao Li-ju eds.), vol. 2, p. 399; Jeanette took over Grand Hotel: Zhou Hong-tao (with Wang Shi-chun), pp. 485–90; May-ling tried to keep party chairmanship: Shaw Yu-ming, p. 260; speech 7 July 1988, http://blog.sciencenet.cn/blog-51807–883264.html</t>
  </si>
</sst>
</file>

<file path=xl/styles.xml><?xml version="1.0" encoding="utf-8"?>
<styleSheet xmlns="http://schemas.openxmlformats.org/spreadsheetml/2006/main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i/>
      <sz val="15"/>
      <color rgb="FF222D33"/>
      <name val="Microsoft Yahei"/>
      <family val="2"/>
    </font>
    <font>
      <sz val="10"/>
      <color theme="1"/>
      <name val="Microsoft Yahei"/>
      <family val="2"/>
    </font>
    <font>
      <sz val="8"/>
      <color rgb="FF222D33"/>
      <name val="Microsoft Yahei"/>
      <family val="2"/>
    </font>
    <font>
      <sz val="11"/>
      <color rgb="FF0B4085"/>
      <name val="Microsoft Yahei"/>
      <family val="2"/>
    </font>
    <font>
      <b/>
      <sz val="11"/>
      <color rgb="FF0B4085"/>
      <name val="Microsoft Yahei"/>
      <family val="2"/>
    </font>
    <font>
      <b/>
      <sz val="8"/>
      <color rgb="FF222D33"/>
      <name val="Microsoft Yahei"/>
      <family val="2"/>
    </font>
    <font>
      <i/>
      <sz val="8"/>
      <color rgb="FF222D33"/>
      <name val="Microsoft Yahe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9" fillId="0" borderId="0" xfId="0" applyFont="1" applyAlignment="1">
      <alignment horizontal="justify"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25"/>
  <sheetViews>
    <sheetView tabSelected="1" zoomScale="90" zoomScaleNormal="90" workbookViewId="0"/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1:3">
      <c r="A1" s="4">
        <v>25</v>
      </c>
      <c r="C1" s="3" t="str">
        <f>CONCATENATE("&lt;div class='layout'&gt;&lt;p&gt;",A1,"&lt;/p&gt;","&lt;p&gt;",B1,"&lt;/p&gt;","&lt;/div&gt;")</f>
        <v>&lt;div class='layout'&gt;&lt;p&gt;25&lt;/p&gt;&lt;p&gt;&lt;/p&gt;&lt;/div&gt;</v>
      </c>
    </row>
    <row r="2" spans="1:3">
      <c r="A2" s="4" t="s">
        <v>14</v>
      </c>
      <c r="C2" s="3" t="str">
        <f t="shared" ref="C2:C65" si="0">CONCATENATE("&lt;div class='layout'&gt;&lt;p&gt;",A2,"&lt;/p&gt;","&lt;p&gt;",B2,"&lt;/p&gt;","&lt;/div&gt;")</f>
        <v>&lt;div class='layout'&gt;&lt;p&gt;Notes&lt;/p&gt;&lt;p&gt;&lt;/p&gt;&lt;/div&gt;</v>
      </c>
    </row>
    <row r="3" spans="1:3">
      <c r="A3" s="4" t="s">
        <v>15</v>
      </c>
      <c r="C3" s="3" t="str">
        <f t="shared" si="0"/>
        <v>&lt;div class='layout'&gt;&lt;p&gt;Chapter 1: The Rise of the Father of China&lt;/p&gt;&lt;p&gt;&lt;/p&gt;&lt;/div&gt;</v>
      </c>
    </row>
    <row r="4" spans="1:3" ht="69.599999999999994">
      <c r="A4" s="4" t="s">
        <v>159</v>
      </c>
      <c r="C4" s="3" t="str">
        <f t="shared" si="0"/>
        <v>&lt;div class='layout'&gt;&lt;p&gt;‘Drive out the Manchus': Sun Yat-sen (Chen Xi-qi et al. eds.), vol. 1, pp. 4–5; Cuiheng and family poverty: Sun Yat-sen (Chen Xi-qi et al. eds.), vol. 1, p. 74; Sun, Victor, p. 24; Shang Ming-xuan et al. eds., p. 513&lt;/p&gt;&lt;p&gt;&lt;/p&gt;&lt;/div&gt;</v>
      </c>
    </row>
    <row r="5" spans="1:3" ht="52.2">
      <c r="A5" s="4" t="s">
        <v>160</v>
      </c>
      <c r="C5" s="3" t="str">
        <f t="shared" si="0"/>
        <v>&lt;div class='layout'&gt;&lt;p&gt;against sister's foot-binding: Linebarger, Paul, pp. 79–81; Sun Hui-fen, p. 18; such a thing as ‘thinking': Miyazaki, To¯ten 1977, p. 7&lt;/p&gt;&lt;p&gt;&lt;/p&gt;&lt;/div&gt;</v>
      </c>
    </row>
    <row r="6" spans="1:3" ht="69.599999999999994">
      <c r="A6" s="4" t="s">
        <v>161</v>
      </c>
      <c r="C6" s="3" t="str">
        <f t="shared" si="0"/>
        <v>&lt;div class='layout'&gt;&lt;p&gt;‘a wonder-house': Linebarger, Paul, p. 116; school life in Hawaii: Sun, Victor, pp. 79, 89–92; Linebarger, Paul, pp. 122–31; Chung Kun Ai, p. 106; Wong, J. Y. 2012, pp. 193–224&lt;/p&gt;&lt;p&gt;&lt;/p&gt;&lt;/div&gt;</v>
      </c>
    </row>
    <row r="7" spans="1:3" ht="34.799999999999997">
      <c r="A7" s="4" t="s">
        <v>16</v>
      </c>
      <c r="C7" s="3" t="str">
        <f t="shared" si="0"/>
        <v>&lt;div class='layout'&gt;&lt;p&gt;despoiling the North God: Chan, Luke and Taylor, Betty Tebbetts, pp. 3, 12–13, 147–8&lt;/p&gt;&lt;p&gt;&lt;/p&gt;&lt;/div&gt;</v>
      </c>
    </row>
    <row r="8" spans="1:3" ht="191.4">
      <c r="A8" s="4" t="s">
        <v>17</v>
      </c>
      <c r="C8" s="3" t="str">
        <f t="shared" si="0"/>
        <v>&lt;div class='layout'&gt;&lt;p&gt;1884: registered at the Central School, marriage to Mu-zhen, baptised: Sun, Victor, pp. 86–7, 98–9; Hager, Charles R., pp. 382–3; changed his name to Yat-sen: Sun Yat-sen (Chen Xi-qi et al. eds.), vol. 1, p. 36; did not believe in God: Shanghai Managing Committee of the Historical Objects of Sun Yat-sen and Soong Ching-ling ed., vol. 1, p. 265; Epstein, Israel, pp. 42–3; at Hong Kong College of Medicine for Chinese: Sun Yat-sen (Chen Xi-qi et al. eds.), vol. 1, pp. 46–7; Chen Shao-bai, p. 5; diploma not recognised: Schiffrin, Harold Z., p. 30, Sheng Yong-hua et al. eds., p. 70&lt;/p&gt;&lt;p&gt;&lt;/p&gt;&lt;/div&gt;</v>
      </c>
    </row>
    <row r="9" spans="1:3">
      <c r="A9" s="4" t="s">
        <v>162</v>
      </c>
      <c r="C9" s="3" t="str">
        <f t="shared" si="0"/>
        <v>&lt;div class='layout'&gt;&lt;p&gt;‘the Second Hong': Chen Shao-bai, pp. 6, 8&lt;/p&gt;&lt;p&gt;&lt;/p&gt;&lt;/div&gt;</v>
      </c>
    </row>
    <row r="10" spans="1:3" ht="121.8">
      <c r="A10" s="4" t="s">
        <v>18</v>
      </c>
      <c r="C10" s="3" t="str">
        <f t="shared" si="0"/>
        <v>&lt;div class='layout'&gt;&lt;p&gt;Soong Charlie and Sun: Sun Yat-sen, Collected Works, Chapter 8 of The Sun Theory, 1919/06, http://sunology.culture.tw/cgibin/gs32/s1gsweb.cgi?o=dcorpusands=id=%22CS0000000030%22.andsearchmode=basic [inactive]; Letter to Li Xiao-sheng, 1912/04/14, http://sunology.culture.tw/cgibin/gs32/s1gsweb.cgi?o=dcorpus&amp;s=id=%22TG0000001329%22.andsearchmode=basic [inactive]&lt;/p&gt;&lt;p&gt;&lt;/p&gt;&lt;/div&gt;</v>
      </c>
    </row>
    <row r="11" spans="1:3" ht="34.799999999999997">
      <c r="A11" s="4" t="s">
        <v>163</v>
      </c>
      <c r="C11" s="3" t="str">
        <f t="shared" si="0"/>
        <v>&lt;div class='layout'&gt;&lt;p&gt;many wary of Sun: Tse Tsan Tai, p. 4; ‘Let me deal with Yeung': Chen Shao-bai, p. 29&lt;/p&gt;&lt;p&gt;&lt;/p&gt;&lt;/div&gt;</v>
      </c>
    </row>
    <row r="12" spans="1:3" ht="52.2">
      <c r="A12" s="4" t="s">
        <v>19</v>
      </c>
      <c r="C12" s="3" t="str">
        <f t="shared" si="0"/>
        <v>&lt;div class='layout'&gt;&lt;p&gt;Sun fleeing Canton: Deng Mu-han; cf. Wong, J. Y. 2012, pp. 587–93; Chen Shao-bai, pp. 29–30; newspapers blasted him: Wong, J. Y. 2012, pp. 574, 578&lt;/p&gt;&lt;p&gt;&lt;/p&gt;&lt;/div&gt;</v>
      </c>
    </row>
    <row r="13" spans="1:3" ht="69.599999999999994">
      <c r="A13" s="4" t="s">
        <v>20</v>
      </c>
      <c r="C13" s="3" t="str">
        <f t="shared" si="0"/>
        <v>&lt;div class='layout'&gt;&lt;p&gt;Dr James Cantlie: Cantlie, Neil and Seaver, George, pp. xxv, xxviii; Cantlie, James and Sheridan, Charles Jones, p, 18; interview with his grandson Hugh Cantlie, 12 April 2016&lt;/p&gt;&lt;p&gt;&lt;/p&gt;&lt;/div&gt;</v>
      </c>
    </row>
    <row r="14" spans="1:3" ht="34.799999999999997">
      <c r="A14" s="4" t="s">
        <v>164</v>
      </c>
      <c r="C14" s="3" t="str">
        <f t="shared" si="0"/>
        <v>&lt;div class='layout'&gt;&lt;p&gt;‘like a poisonous snake': Sun Yat-sen (Chen Xi-qi et al. eds.), vol. 1, p. 110&lt;/p&gt;&lt;p&gt;&lt;/p&gt;&lt;/div&gt;</v>
      </c>
    </row>
    <row r="15" spans="1:3" ht="34.799999999999997">
      <c r="A15" s="4" t="s">
        <v>165</v>
      </c>
      <c r="C15" s="3" t="str">
        <f t="shared" si="0"/>
        <v>&lt;div class='layout'&gt;&lt;p&gt;Slater's Detective Association reports: Luo Jia-lun, pp. 100–76&lt;/p&gt;&lt;p&gt;&lt;/p&gt;&lt;/div&gt;</v>
      </c>
    </row>
    <row r="16" spans="1:3" ht="87">
      <c r="A16" s="4" t="s">
        <v>166</v>
      </c>
      <c r="C16" s="3" t="str">
        <f t="shared" si="0"/>
        <v>&lt;div class='layout'&gt;&lt;p&gt;Cantlie's testimony: The National Archives, London, UK, FO 17/1718, p. 122; ‘Well, I suppose you are': The National Archives, London, UK, FO 17/1718, p. 121; Sun came to the conclusion: Luo Jia-lun, pp. 45, 48–9; The National Archives, London, UK, FO 17/1718, pp. 119–21&lt;/p&gt;&lt;p&gt;&lt;/p&gt;&lt;/div&gt;</v>
      </c>
    </row>
    <row r="17" spans="1:3" ht="34.799999999999997">
      <c r="A17" s="4" t="s">
        <v>21</v>
      </c>
      <c r="C17" s="3" t="str">
        <f t="shared" si="0"/>
        <v>&lt;div class='layout'&gt;&lt;p&gt;Dr Patrick Manson: The National Archives, London, UK, FO 17/1718, p. 122&lt;/p&gt;&lt;p&gt;&lt;/p&gt;&lt;/div&gt;</v>
      </c>
    </row>
    <row r="18" spans="1:3" ht="87">
      <c r="A18" s="4" t="s">
        <v>167</v>
      </c>
      <c r="C18" s="3" t="str">
        <f t="shared" si="0"/>
        <v>&lt;div class='layout'&gt;&lt;p&gt;Sun's detention and release: Luo Jia-lun; The National Archives, FO 17/1718, pp. 9–498; Cantlie, Neil and Seaver, George, pp. 103–5; Cantlie, James and Sheridan, Charles Jones, pp. 43–4; cf. Sun Yat Sen, Kidnapped in London; Chen Shao-bai, pp. 34–5&lt;/p&gt;&lt;p&gt;&lt;/p&gt;&lt;/div&gt;</v>
      </c>
    </row>
    <row r="19" spans="1:3">
      <c r="A19" s="4" t="s">
        <v>22</v>
      </c>
      <c r="C19" s="3" t="str">
        <f t="shared" si="0"/>
        <v>&lt;div class='layout'&gt;&lt;p&gt;note Luo Jia-lun, pp. 53, 61&lt;/p&gt;&lt;p&gt;&lt;/p&gt;&lt;/div&gt;</v>
      </c>
    </row>
    <row r="20" spans="1:3" ht="87">
      <c r="A20" s="4" t="s">
        <v>168</v>
      </c>
      <c r="C20" s="3" t="str">
        <f t="shared" si="0"/>
        <v>&lt;div class='layout'&gt;&lt;p&gt;‘accosted…and compelled to enter': The West Australian, 26 October 1896; ‘it was done in a friendly manner': The National Archives, London, UK, FO 17/1718, p. 120; ‘that troublesome friend of yours': Cantlie, Neil and Seaver, George, p. 107&lt;/p&gt;&lt;p&gt;&lt;/p&gt;&lt;/div&gt;</v>
      </c>
    </row>
    <row r="21" spans="1:3" ht="34.799999999999997">
      <c r="A21" s="4" t="s">
        <v>169</v>
      </c>
      <c r="C21" s="3" t="str">
        <f t="shared" si="0"/>
        <v>&lt;div class='layout'&gt;&lt;p&gt;‘I get what I want': Chan, Luke and Taylor, Betty Tebbetts, p. 171&lt;/p&gt;&lt;p&gt;&lt;/p&gt;&lt;/div&gt;</v>
      </c>
    </row>
    <row r="22" spans="1:3" ht="52.2">
      <c r="A22" s="4" t="s">
        <v>23</v>
      </c>
      <c r="C22" s="3" t="str">
        <f t="shared" si="0"/>
        <v>&lt;div class='layout'&gt;&lt;p&gt;Triad revolt 1900: Yang Tian-shi 2007, pp. 221–5, pp. 212–13; Sun Yat-sen (Chen Xi-qi et al. eds.), vol. 1, pp. 232, 244–9; Hsu Chieh-lin, pp. 21–4&lt;/p&gt;&lt;p&gt;&lt;/p&gt;&lt;/div&gt;</v>
      </c>
    </row>
    <row r="23" spans="1:3" ht="87">
      <c r="A23" s="4" t="s">
        <v>170</v>
      </c>
      <c r="C23" s="3" t="str">
        <f t="shared" si="0"/>
        <v>&lt;div class='layout'&gt;&lt;p&gt;repeated setbacks: Papers of 3rd Marquess of Salisbury, Hatfield House Archives/3M/B24; Empress Dowager Cixi: Chang, Jung 2013; ‘a thousand li a day': Sun Yat-sen (Chen Xi-qi et al. eds.), vol. 1, p. 346; Dr Charles Hager: Hager, Charles R., pp. 385–6&lt;/p&gt;&lt;p&gt;&lt;/p&gt;&lt;/div&gt;</v>
      </c>
    </row>
    <row r="24" spans="1:3" ht="69.599999999999994">
      <c r="A24" s="4" t="s">
        <v>24</v>
      </c>
      <c r="C24" s="3" t="str">
        <f t="shared" si="0"/>
        <v>&lt;div class='layout'&gt;&lt;p&gt;colleagues accused him: Yang Tian-shi 2007, pp. 272–312; Sun Yat-sen (Chen Xi-qi et al. eds.), vol. 1, pp. 469–76; New York Times observed: New York Times, 2 October 1910&lt;/p&gt;&lt;p&gt;&lt;/p&gt;&lt;/div&gt;</v>
      </c>
    </row>
    <row r="25" spans="1:3" ht="87">
      <c r="A25" s="4" t="s">
        <v>25</v>
      </c>
      <c r="C25" s="3" t="str">
        <f t="shared" si="0"/>
        <v>&lt;div class='layout'&gt;&lt;p&gt;he told the newspapers: Sun Yat-sen (Chen Xi-qi et al. eds.), vol. 1, pp. 558–9, 568; Sun cabled Huang: Sun Yat-sen (Chen Xi-qi et al. eds.), vol. 1, p. 557; He also claimed: Sun Yat-sen (Chen Xi-qi et al. eds.), vol. 1, pp. 558–9, 590–9; Zhang Tai-yan, p. 18&lt;/p&gt;&lt;p&gt;&lt;/p&gt;&lt;/div&gt;</v>
      </c>
    </row>
    <row r="26" spans="1:3" ht="34.799999999999997">
      <c r="A26" s="4" t="s">
        <v>26</v>
      </c>
      <c r="C26" s="3" t="str">
        <f t="shared" si="0"/>
        <v>&lt;div class='layout'&gt;&lt;p&gt;Chapter 2: Soong Charlie: A Methodist Preacher and a Secret Revolutionary&lt;/p&gt;&lt;p&gt;&lt;/p&gt;&lt;/div&gt;</v>
      </c>
    </row>
    <row r="27" spans="1:3" ht="87">
      <c r="A27" s="4" t="s">
        <v>27</v>
      </c>
      <c r="C27" s="3" t="str">
        <f t="shared" si="0"/>
        <v>&lt;div class='layout'&gt;&lt;p&gt;Charlie born in 1861: Shanghai Managing Committee of the Historical Objects of Sun Yat-sen and Soong Ching-ling, and Shanghai Association for Soong Ching-ling Studies eds. 2013a, p. 1; about fourteen years old: Fifth Avenue United Methodist Church Archives&lt;/p&gt;&lt;p&gt;&lt;/p&gt;&lt;/div&gt;</v>
      </c>
    </row>
    <row r="28" spans="1:3" ht="34.799999999999997">
      <c r="A28" s="4" t="s">
        <v>28</v>
      </c>
      <c r="C28" s="3" t="str">
        <f t="shared" si="0"/>
        <v>&lt;div class='layout'&gt;&lt;p&gt;comments about Charlie: Burke, James, p. 13; Haag, E. A., pp. 30–1&lt;/p&gt;&lt;p&gt;&lt;/p&gt;&lt;/div&gt;</v>
      </c>
    </row>
    <row r="29" spans="1:3" ht="156.6">
      <c r="A29" s="4" t="s">
        <v>171</v>
      </c>
      <c r="C29" s="3" t="str">
        <f t="shared" si="0"/>
        <v>&lt;div class='layout'&gt;&lt;p&gt;Charlie's letter to his father: Shanghai Managing Committee of the Historical Objects of Sun Yat-sen and Soong Ching-ling ed., vol. 2, pp. 281–2; Letters between Charlie and Dr Allen: Shanghai Managing Committee of the Historical Objects of Sun Yat-sen and Soong Ching-ling ed., vol. 2, pp. 281–5, Shanghai Managing Committee of the Historical Objects of Sun Yat-sen and Soong Ching-ling, and Shanghai Association for Soong Ching-ling Studies eds. 2013a, p. 7&lt;/p&gt;&lt;p&gt;&lt;/p&gt;&lt;/div&gt;</v>
      </c>
    </row>
    <row r="30" spans="1:3" ht="104.4">
      <c r="A30" s="4" t="s">
        <v>172</v>
      </c>
      <c r="C30" s="3" t="str">
        <f t="shared" si="0"/>
        <v>&lt;div class='layout'&gt;&lt;p&gt;John C. Orr recalled: World Outlook, April 1938, p. 8; ‘with the greatest respect': Haag, E. A., p. 79; Jerome Dowd noticed: Charlie Soong at Trinity College; Bishop McTyeire to Dr Allen: Burke, James, p. 17; People remembered Charlie: Haag, E. A., pp. 74–9; Charlie Soong at Trinity College; Hahn, Emily, 2014b, p. 8&lt;/p&gt;&lt;p&gt;&lt;/p&gt;&lt;/div&gt;</v>
      </c>
    </row>
    <row r="31" spans="1:3" ht="87">
      <c r="A31" s="4" t="s">
        <v>173</v>
      </c>
      <c r="C31" s="3" t="str">
        <f t="shared" si="0"/>
        <v>&lt;div class='layout'&gt;&lt;p&gt;Charlie's letter in 1882: Charlie Soong at Trinity College; Ella Carr: Haag, E. A., pp. 50–1; To Miss Annie: Shanghai Managing Committee of the Historical Objects of Sun Yat-sen and Soong Ching-ling ed., vol. 2, pp. 287–8&lt;/p&gt;&lt;p&gt;&lt;/p&gt;&lt;/div&gt;</v>
      </c>
    </row>
    <row r="32" spans="1:3" ht="34.799999999999997">
      <c r="A32" s="4" t="s">
        <v>29</v>
      </c>
      <c r="C32" s="3" t="str">
        <f t="shared" si="0"/>
        <v>&lt;div class='layout'&gt;&lt;p&gt;May-ling remembered: Soong May-ling 1955, p. 34; Observations of Charlie: Haag, E. A., pp. 48–9&lt;/p&gt;&lt;p&gt;&lt;/p&gt;&lt;/div&gt;</v>
      </c>
    </row>
    <row r="33" spans="1:3">
      <c r="A33" s="4" t="s">
        <v>30</v>
      </c>
      <c r="C33" s="3" t="str">
        <f t="shared" si="0"/>
        <v>&lt;div class='layout'&gt;&lt;p&gt;Allen to Bishop McTyeire: Burke, James, pp. 31–2&lt;/p&gt;&lt;p&gt;&lt;/p&gt;&lt;/div&gt;</v>
      </c>
    </row>
    <row r="34" spans="1:3" ht="104.4">
      <c r="A34" s="4" t="s">
        <v>31</v>
      </c>
      <c r="C34" s="3" t="str">
        <f t="shared" si="0"/>
        <v>&lt;div class='layout'&gt;&lt;p&gt;dealing with Allen: Shanghai Managing Committee of the Historical Objects of Sun Yat-sen and Soong Ching-ling ed., vol. 2, pp. 288–9; other problems confronting Charlie: Shanghai Managing Committee of the Historical Objects of Sun Yat-sen and Soong Ching-ling ed., vol. 2, p. 288–90; Haag, E. A., p. 91; Burke, James, pp. 32–3&lt;/p&gt;&lt;p&gt;&lt;/p&gt;&lt;/div&gt;</v>
      </c>
    </row>
    <row r="35" spans="1:3" ht="69.599999999999994">
      <c r="A35" s="4" t="s">
        <v>174</v>
      </c>
      <c r="C35" s="3" t="str">
        <f t="shared" si="0"/>
        <v>&lt;div class='layout'&gt;&lt;p&gt;‘I knew my mother': Soong May-ling 1934, p. 131; ‘there was a strength of character': Charles Jones Soong Reference Collection; jokey notice: Haag, E. A., p. 118; Bill Burke's memory: Burke, James, pp. 43–4&lt;/p&gt;&lt;p&gt;&lt;/p&gt;&lt;/div&gt;</v>
      </c>
    </row>
    <row r="36" spans="1:3" ht="104.4">
      <c r="A36" s="4" t="s">
        <v>175</v>
      </c>
      <c r="C36" s="3" t="str">
        <f t="shared" si="0"/>
        <v>&lt;div class='layout'&gt;&lt;p&gt;‘a very congenial couple': Charles Jones Soong Reference Collection; ‘My reason for leaving': Haag, E. A., pp. 127–8; ‘can never be Chinese enough': Burke, James, p. 43; did not like Chinese food: Hahn, Emily 2014b, p. 24; Haag, E. A., p. 111; Ei-ling's description: Hahn, Emily 2014b, p. 24&lt;/p&gt;&lt;p&gt;&lt;/p&gt;&lt;/div&gt;</v>
      </c>
    </row>
    <row r="37" spans="1:3" ht="34.799999999999997">
      <c r="A37" s="4" t="s">
        <v>176</v>
      </c>
      <c r="C37" s="3" t="str">
        <f t="shared" si="0"/>
        <v>&lt;div class='layout'&gt;&lt;p&gt;‘gained the impression': Charles Jones Soong Reference Collection&lt;/p&gt;&lt;p&gt;&lt;/p&gt;&lt;/div&gt;</v>
      </c>
    </row>
    <row r="38" spans="1:3" ht="226.2">
      <c r="A38" s="4" t="s">
        <v>177</v>
      </c>
      <c r="C38" s="3" t="str">
        <f t="shared" si="0"/>
        <v>&lt;div class='layout'&gt;&lt;p&gt;sending Sun money over the years: Charles Jones Soong Reference collection; Sun Yat-sen, Collected Works, Chapter 8 of The Sun Theory, 1919/06, http://sunology.culture.tw/cgi-bin/gs32/s1gsweb.cgi?o=dcorpusands=id=%22CS0000000030%22.andsearchmode=basic, Letter to Li Xiao-sheng, 1912/04/14, http://sunology.culture.tw/cgi-bin/gs32/s1gsweb.cgi?o=dcorpusands=id=%22TG0000001329%22.andsearchmode=basic; ‘vile criminal': Zhang Zhu-hong; ‘I know no man': Shanghai Managing Committee of the Historical Objects of Sun Yat-sen and Soong Ching-ling ed., vol. 2, p. 295; Charlie revealed his secret to Mrs Roberts: Charles Jones Soong Reference Collection&lt;/p&gt;&lt;p&gt;&lt;/p&gt;&lt;/div&gt;</v>
      </c>
    </row>
    <row r="39" spans="1:3">
      <c r="A39" s="4" t="s">
        <v>178</v>
      </c>
      <c r="C39" s="3" t="str">
        <f t="shared" si="0"/>
        <v>&lt;div class='layout'&gt;&lt;p&gt;Chapter 3: Ei-ling: A ‘Mighty Smart' Young Lady&lt;/p&gt;&lt;p&gt;&lt;/p&gt;&lt;/div&gt;</v>
      </c>
    </row>
    <row r="40" spans="1:3">
      <c r="A40" s="4" t="s">
        <v>32</v>
      </c>
      <c r="C40" s="3" t="str">
        <f t="shared" si="0"/>
        <v>&lt;div class='layout'&gt;&lt;p&gt;Ei-ling to McTyeire School: Hahn, Emily 2014b, pp. 22–9&lt;/p&gt;&lt;p&gt;&lt;/p&gt;&lt;/div&gt;</v>
      </c>
    </row>
    <row r="41" spans="1:3">
      <c r="A41" s="4" t="s">
        <v>179</v>
      </c>
      <c r="C41" s="3" t="str">
        <f t="shared" si="0"/>
        <v>&lt;div class='layout'&gt;&lt;p&gt;‘a dreamy and pretty child': Hahn, Emily 2014b, p. 22&lt;/p&gt;&lt;p&gt;&lt;/p&gt;&lt;/div&gt;</v>
      </c>
    </row>
    <row r="42" spans="1:3" ht="52.2">
      <c r="A42" s="4" t="s">
        <v>180</v>
      </c>
      <c r="C42" s="3" t="str">
        <f t="shared" si="0"/>
        <v>&lt;div class='layout'&gt;&lt;p&gt;‘As a child': Shanghai Managing Committee of the Historical Objects of Sun Yat-sen and Soong Ching-ling ed., vol. 1, p. 265&lt;/p&gt;&lt;p&gt;&lt;/p&gt;&lt;/div&gt;</v>
      </c>
    </row>
    <row r="43" spans="1:3">
      <c r="A43" s="4" t="s">
        <v>33</v>
      </c>
      <c r="C43" s="3" t="str">
        <f t="shared" si="0"/>
        <v>&lt;div class='layout'&gt;&lt;p&gt;May-ling childhood: Hahn, Emily 2014b, pp. 35–6&lt;/p&gt;&lt;p&gt;&lt;/p&gt;&lt;/div&gt;</v>
      </c>
    </row>
    <row r="44" spans="1:3" ht="34.799999999999997">
      <c r="A44" s="4" t="s">
        <v>34</v>
      </c>
      <c r="C44" s="3" t="str">
        <f t="shared" si="0"/>
        <v>&lt;div class='layout'&gt;&lt;p&gt;Family life: Hahn, Emily 2014b, pp. 22–6, 40; Burke, James, p. 161; Soong May-ling 1934, p. 131&lt;/p&gt;&lt;p&gt;&lt;/p&gt;&lt;/div&gt;</v>
      </c>
    </row>
    <row r="45" spans="1:3" ht="52.2">
      <c r="A45" s="4" t="s">
        <v>338</v>
      </c>
      <c r="C45" s="3" t="str">
        <f t="shared" si="0"/>
        <v>&lt;div class='layout'&gt;&lt;p&gt;Ei-ling journey to America: Burke, James, pp. 157–68; Clark, Elmer T., pp. 46–8; Hahn, Emily 2014b, p. 42; http://www.wesleyancollege.edu/about/soongsisters.cfm&lt;/p&gt;&lt;p&gt;&lt;/p&gt;&lt;/div&gt;</v>
      </c>
    </row>
    <row r="46" spans="1:3" ht="104.4">
      <c r="A46" s="4" t="s">
        <v>181</v>
      </c>
      <c r="C46" s="3" t="str">
        <f t="shared" si="0"/>
        <v>&lt;div class='layout'&gt;&lt;p&gt;Ei-ling at Wesleyan: Burke, James, pp. 166–8; Wesleyan College Archives and Special Collections: Soong Sisters, ‘article – undated, 2/10', ‘Sketches – Questionnaire Replied – Circa 1943', ‘Sketches – College – undated, 2/8', ‘Publication by – Ei-ling “My Country and Its Appeal” – undated, Box Folder 5'&lt;/p&gt;&lt;p&gt;&lt;/p&gt;&lt;/div&gt;</v>
      </c>
    </row>
    <row r="47" spans="1:3" ht="104.4">
      <c r="A47" s="4" t="s">
        <v>182</v>
      </c>
      <c r="C47" s="3" t="str">
        <f t="shared" si="0"/>
        <v>&lt;div class='layout'&gt;&lt;p&gt;Ei-ling ‘scolding' May-ling: Wesleyan College Archives and Special Collections, ‘Sketches – Questionnaire Replied – Circa 1943'; ‘undoubtedly the most brilliant mind': 13 September 1917, Papers of Emma DeLong Mills, MSS.2, Wellesley College Archives; The Japanese Girl: Burke, James, p. 168&lt;/p&gt;&lt;p&gt;&lt;/p&gt;&lt;/div&gt;</v>
      </c>
    </row>
    <row r="48" spans="1:3" ht="121.8">
      <c r="A48" s="4" t="s">
        <v>183</v>
      </c>
      <c r="C48" s="3" t="str">
        <f t="shared" si="0"/>
        <v>&lt;div class='layout'&gt;&lt;p&gt;‘a coward': in Wong, J. Y. 2005, p. 318; George Morrison reported: Lo Hui-Min, vol. 1, pp. 666, 721; ‘A revolution does not depend on money': Sun Yat-sen, Collected Works, interview with the Dalu newspaper in Shanghai, 1911/12/25, http://sunology.culture.tw/cgi-bin/gs32/s1gsweb.cgi?o=dcorpusands=id=%22TL0000000138%22.andsearchmode=basic&lt;/p&gt;&lt;p&gt;&lt;/p&gt;&lt;/div&gt;</v>
      </c>
    </row>
    <row r="49" spans="1:3" ht="69.599999999999994">
      <c r="A49" s="4" t="s">
        <v>36</v>
      </c>
      <c r="C49" s="3" t="str">
        <f t="shared" si="0"/>
        <v>&lt;div class='layout'&gt;&lt;p&gt;one from Fujian: CPPCC 1981, vol. 6, p. 250; Tao Cheng-zhang: Yang Tian-shi 2007, pp. 298–9; Yang Tian-shi 2008, vol. 1, pp. 3–12; Chiang Kai-shek (The Second Historical Archives of China ed.), pp. 17–18&lt;/p&gt;&lt;p&gt;&lt;/p&gt;&lt;/div&gt;</v>
      </c>
    </row>
    <row r="50" spans="1:3" ht="52.2">
      <c r="A50" s="4" t="s">
        <v>37</v>
      </c>
      <c r="C50" s="3" t="str">
        <f t="shared" si="0"/>
        <v>&lt;div class='layout'&gt;&lt;p&gt;Huang Xing, and the assassin: Huang Xing (Mao Zhu-qing ed.), pp. 181–5, 237–8; Miyazaki, To¯ten 1977, pp. 53–63&lt;/p&gt;&lt;p&gt;&lt;/p&gt;&lt;/div&gt;</v>
      </c>
    </row>
    <row r="51" spans="1:3" ht="139.19999999999999">
      <c r="A51" s="4" t="s">
        <v>184</v>
      </c>
      <c r="C51" s="3" t="str">
        <f t="shared" si="0"/>
        <v>&lt;div class='layout'&gt;&lt;p&gt;Sun conceded to arrangement before voting: Shang Ming-xuan et al. eds., pp. 779–80; CPPCC 1981, vol. 1, pp. 117–9; Huang Xing (Mao Zhu-qing ed.), p. 245; Sun publicly pledged to step down: Sun Yat-sen (Chen Xi-qi et al. eds.), vol. 1, p. 615; ‘Why do you not want peace talks?': CPPCC 1981, vol. 1, p. 118; cf. Sun Yat-sen (Chen Xi-qi et al. eds.), vol. 1, p. 633; 15 million yuan: Sun Yat-sen (Chen Xi-qi et al. eds.), vol. 1, pp. 647–8&lt;/p&gt;&lt;p&gt;&lt;/p&gt;&lt;/div&gt;</v>
      </c>
    </row>
    <row r="52" spans="1:3" ht="52.2">
      <c r="A52" s="4" t="s">
        <v>38</v>
      </c>
      <c r="C52" s="3" t="str">
        <f t="shared" si="0"/>
        <v>&lt;div class='layout'&gt;&lt;p&gt;failed to move capital to Nanjing: Gu Li-juan and Yuan Xiang-fu, vol. 1, pp. 188–92; CPPCC 1981, vol. 1, pp. 119–20&lt;/p&gt;&lt;p&gt;&lt;/p&gt;&lt;/div&gt;</v>
      </c>
    </row>
    <row r="53" spans="1:3" ht="52.2">
      <c r="A53" s="4" t="s">
        <v>185</v>
      </c>
      <c r="C53" s="3" t="str">
        <f t="shared" si="0"/>
        <v>&lt;div class='layout'&gt;&lt;p&gt;John Cline's description: Burke, James, p. 179; William Donald's account: Selle, Earl Albert, pp. vii, 134, 139; Tongues began to wag: Huang San-de, p. 8&lt;/p&gt;&lt;p&gt;&lt;/p&gt;&lt;/div&gt;</v>
      </c>
    </row>
    <row r="54" spans="1:3" ht="87">
      <c r="A54" s="4" t="s">
        <v>39</v>
      </c>
      <c r="C54" s="3" t="str">
        <f t="shared" si="0"/>
        <v>&lt;div class='layout'&gt;&lt;p&gt;Ei-ling deferential towards Mu-zhen: Huang San-de, p. 8; Luke Chan helped Sun family: Shang Ming-xuan et al. eds., pp. 518; Chan, Luke and Taylor, Betty Tebbetts, p. 22; cf. Wong, J. Y. 2012, pp. 552–4; Friends heard him say: Miyazaki, To¯ten 1977, pp. 30, 130&lt;/p&gt;&lt;p&gt;&lt;/p&gt;&lt;/div&gt;</v>
      </c>
    </row>
    <row r="55" spans="1:3" ht="52.2">
      <c r="A55" s="4" t="s">
        <v>186</v>
      </c>
      <c r="C55" s="3" t="str">
        <f t="shared" si="0"/>
        <v>&lt;div class='layout'&gt;&lt;p&gt;Mu-zhen and Sun's mother miserable: Chan, Luke and Taylor, Betty Tebbetts, pp. 187–8; what comforted the women: Sun, Victor, pp. 360–6, 398&lt;/p&gt;&lt;p&gt;&lt;/p&gt;&lt;/div&gt;</v>
      </c>
    </row>
    <row r="56" spans="1:3" ht="34.799999999999997">
      <c r="A56" s="4" t="s">
        <v>187</v>
      </c>
      <c r="C56" s="3" t="str">
        <f t="shared" si="0"/>
        <v>&lt;div class='layout'&gt;&lt;p&gt;hung his head: Miyazaki, To¯ten 1977, p. 141; ‘behaved badly': Huang San-de, p. 8&lt;/p&gt;&lt;p&gt;&lt;/p&gt;&lt;/div&gt;</v>
      </c>
    </row>
    <row r="57" spans="1:3" ht="34.799999999999997">
      <c r="A57" s="4" t="s">
        <v>40</v>
      </c>
      <c r="C57" s="3" t="str">
        <f t="shared" si="0"/>
        <v>&lt;div class='layout'&gt;&lt;p&gt;Cui-fen: Sun, Victor, pp. 344, 407–21; Miyazaki, To¯ten 1977, p. 130; Huang San-de, p. 8&lt;/p&gt;&lt;p&gt;&lt;/p&gt;&lt;/div&gt;</v>
      </c>
    </row>
    <row r="58" spans="1:3">
      <c r="A58" s="4" t="s">
        <v>41</v>
      </c>
      <c r="C58" s="3" t="str">
        <f t="shared" si="0"/>
        <v>&lt;div class='layout'&gt;&lt;p&gt;Sun vetoed Ah Mi nomination: Sun, Victor, pp. 289–91&lt;/p&gt;&lt;p&gt;&lt;/p&gt;&lt;/div&gt;</v>
      </c>
    </row>
    <row r="59" spans="1:3">
      <c r="A59" s="4" t="s">
        <v>42</v>
      </c>
      <c r="C59" s="3" t="str">
        <f t="shared" si="0"/>
        <v>&lt;div class='layout'&gt;&lt;p&gt;Chapter 4: China Embarks on Democracy&lt;/p&gt;&lt;p&gt;&lt;/p&gt;&lt;/div&gt;</v>
      </c>
    </row>
    <row r="60" spans="1:3" ht="34.799999999999997">
      <c r="A60" s="4" t="s">
        <v>43</v>
      </c>
      <c r="C60" s="3" t="str">
        <f t="shared" si="0"/>
        <v>&lt;div class='layout'&gt;&lt;p&gt;Lord William Gascoyne-Cecil: Gascoyne-Cecil, Lord William, p. 274&lt;/p&gt;&lt;p&gt;&lt;/p&gt;&lt;/div&gt;</v>
      </c>
    </row>
    <row r="61" spans="1:3" ht="156.6">
      <c r="A61" s="4" t="s">
        <v>188</v>
      </c>
      <c r="C61" s="3" t="str">
        <f t="shared" si="0"/>
        <v>&lt;div class='layout'&gt;&lt;p&gt;Cix committed to constitutional monarchy: Archives of Ming and Qing dynasties ed., vol. 1, pp. 43–4, 54–68; vol. 2, pp. 627–37, 667–84, 671–3, 683–4; Chang, Jung 2013, Chapter 29; 1909 provincial elections: Gu Li-juan and Yuan Xiang-fu, vol. 1, pp. 2–5; Archives of Ming and Qing dynasties ed., vol. 1, pp. 667ff; Zhang Peng-yuan 1979, pp. 364–8; Chang, David Cheng, p. 196; ‘acting parliament': Gu Li-juan and Yuan Xiang-fu, vol. 1, pp. 88, 119–20, 156, 186–92&lt;/p&gt;&lt;p&gt;&lt;/p&gt;&lt;/div&gt;</v>
      </c>
    </row>
    <row r="62" spans="1:3" ht="121.8">
      <c r="A62" s="4" t="s">
        <v>189</v>
      </c>
      <c r="C62" s="3" t="str">
        <f t="shared" si="0"/>
        <v>&lt;div class='layout'&gt;&lt;p&gt;1913 general election: Gu Li-juan and Yuan Xiang-fu, vol. 1, pp. 2–16; Zhang Peng-yuan 2013, p. 76–110; Zhang Peng-yuan 1979, pp. 364–70; Chang, David Cheng, p. 215; French scholar concluded: Bergère, Marie-Claire, p. 226; members of first parliament: Gu Li-juan and Yuan Xiang-fu, vol. 1, p 523; Zhang Peng-yuan 1979, pp. 398–447; K'ung Hsiang-hsi, p. 39&lt;/p&gt;&lt;p&gt;&lt;/p&gt;&lt;/div&gt;</v>
      </c>
    </row>
    <row r="63" spans="1:3" ht="69.599999999999994">
      <c r="A63" s="4" t="s">
        <v>190</v>
      </c>
      <c r="C63" s="3" t="str">
        <f t="shared" si="0"/>
        <v>&lt;div class='layout'&gt;&lt;p&gt;assassination attempt on Yuan: Wu Chang-yi ed., pp. 18–19; ‘would catch sight': Selle, Earl Albert, p. 134; core of this request: Sun Yat-sen (Chen Xi-qi et al. eds.), vol. 1, pp. 764, 773, 778, 782&lt;/p&gt;&lt;p&gt;&lt;/p&gt;&lt;/div&gt;</v>
      </c>
    </row>
    <row r="64" spans="1:3" ht="52.2">
      <c r="A64" s="4" t="s">
        <v>44</v>
      </c>
      <c r="C64" s="3" t="str">
        <f t="shared" si="0"/>
        <v>&lt;div class='layout'&gt;&lt;p&gt;Donald described: Selle, Earl Albert, pp. 135–6; Yuan countered: Sun Yat-sen (Chen Xi-qi et al. eds.), vol. 1, pp. 757–8, 782&lt;/p&gt;&lt;p&gt;&lt;/p&gt;&lt;/div&gt;</v>
      </c>
    </row>
    <row r="65" spans="1:3" ht="34.799999999999997">
      <c r="A65" s="4" t="s">
        <v>45</v>
      </c>
      <c r="C65" s="3" t="str">
        <f t="shared" si="0"/>
        <v>&lt;div class='layout'&gt;&lt;p&gt;Mu-zhen car accident: Chen Peng Jen, pp. 107–8; Sun Yat-sen (Chen Xi-qi et al. eds.), vol. 1, pp. 784–7&lt;/p&gt;&lt;p&gt;&lt;/p&gt;&lt;/div&gt;</v>
      </c>
    </row>
    <row r="66" spans="1:3" ht="69.599999999999994">
      <c r="A66" s="4" t="s">
        <v>191</v>
      </c>
      <c r="C66" s="3" t="str">
        <f t="shared" ref="C66:C129" si="1">CONCATENATE("&lt;div class='layout'&gt;&lt;p&gt;",A66,"&lt;/p&gt;","&lt;p&gt;",B66,"&lt;/p&gt;","&lt;/div&gt;")</f>
        <v>&lt;div class='layout'&gt;&lt;p&gt;Song's last words to ‘President Yuan': Song Jiao-ren (Chen Xu-lu ed.), p. 496; ‘must have given the order': K'ung Hsiang-hsi, pp. 36–7; ‘snake': Soong Ching-ling (China Welfare ed.), p. 189&lt;/p&gt;&lt;p&gt;&lt;/p&gt;&lt;/div&gt;</v>
      </c>
    </row>
    <row r="67" spans="1:3">
      <c r="A67" s="4" t="s">
        <v>46</v>
      </c>
      <c r="C67" s="3" t="str">
        <f t="shared" si="1"/>
        <v>&lt;div class='layout'&gt;&lt;p&gt;Chapter 5: The Marriages of Ei-ling and Ching-ling&lt;/p&gt;&lt;p&gt;&lt;/p&gt;&lt;/div&gt;</v>
      </c>
    </row>
    <row r="68" spans="1:3" ht="87">
      <c r="A68" s="4" t="s">
        <v>192</v>
      </c>
      <c r="C68" s="3" t="str">
        <f t="shared" si="1"/>
        <v>&lt;div class='layout'&gt;&lt;p&gt;he saw Mrs Roberts: Charles Jones Soong Reference Collection; H.H. Kung met Ei-ling: K'ung Hsiang-hsi; Lo Hui-Min, vol. 2, pp. 478–9; Yu Xin-chun and Wang Zhen-suo eds., pp. 283, 299; Shou Chong-yi ed., pp. 42–3, 57, 77, 82&lt;/p&gt;&lt;p&gt;&lt;/p&gt;&lt;/div&gt;</v>
      </c>
    </row>
    <row r="69" spans="1:3" ht="52.2">
      <c r="A69" s="4" t="s">
        <v>193</v>
      </c>
      <c r="C69" s="3" t="str">
        <f t="shared" si="1"/>
        <v>&lt;div class='layout'&gt;&lt;p&gt;H.H. and Ei-ling steered away from Sun: K'ung Hsiang-hsi, pp. 36–43; Lo Hui-Min, vol. 2, pp. 478–80; Ei-ling wedding: Hahn, Emily 2014b, pp. 80–1&lt;/p&gt;&lt;p&gt;&lt;/p&gt;&lt;/div&gt;</v>
      </c>
    </row>
    <row r="70" spans="1:3" ht="69.599999999999994">
      <c r="A70" s="4" t="s">
        <v>194</v>
      </c>
      <c r="C70" s="3" t="str">
        <f t="shared" si="1"/>
        <v>&lt;div class='layout'&gt;&lt;p&gt;Ching-ling's contemporaries remembered: Wesleyan College Archives and Special Collections: ‘Sketches – Questionnaire Replied – Circa 1943', ‘Sketches – College – undated, 2/8', ‘article – undated, 2/10'&lt;/p&gt;&lt;p&gt;&lt;/p&gt;&lt;/div&gt;</v>
      </c>
    </row>
    <row r="71" spans="1:3" ht="69.599999999999994">
      <c r="A71" s="4" t="s">
        <v>195</v>
      </c>
      <c r="C71" s="3" t="str">
        <f t="shared" si="1"/>
        <v>&lt;div class='layout'&gt;&lt;p&gt;‘I am taking a box': Hahn, Emily 2014b, p. 77; ‘I…went from dinners': Epstein, Israel, p. 7; ‘He was made of stern stuff': Epstein, Israel, p. 36; to Allie Sleep: Rosholt, Malcolm, pp. 112–15&lt;/p&gt;&lt;p&gt;&lt;/p&gt;&lt;/div&gt;</v>
      </c>
    </row>
    <row r="72" spans="1:3" ht="87">
      <c r="A72" s="4" t="s">
        <v>196</v>
      </c>
      <c r="C72" s="3" t="str">
        <f t="shared" si="1"/>
        <v>&lt;div class='layout'&gt;&lt;p&gt;about missionaries: Epstein, Israel, pp. 7, 42–3; ‘I just can't get Ching-ling': Soong Ching-ling (Shang Ming-xuan et al. eds.), vol. 1, p. 67; Ching-ling teasing Sun: Shanghai Managing Committee of the Historical Objects of Sun Yat-sen and Soong Ching-ling ed., vol. 2, pp. 293–5&lt;/p&gt;&lt;p&gt;&lt;/p&gt;&lt;/div&gt;</v>
      </c>
    </row>
    <row r="73" spans="1:3" ht="52.2">
      <c r="A73" s="4" t="s">
        <v>47</v>
      </c>
      <c r="C73" s="3" t="str">
        <f t="shared" si="1"/>
        <v>&lt;div class='layout'&gt;&lt;p&gt;Parents against marriage: Shanghai Managing Committee of the Historical Objects of Sun Yat-sen and Soong Ching-ling ed., vol. 2, p. 295; Epstein, Israel, pp. 38–9&lt;/p&gt;&lt;p&gt;&lt;/p&gt;&lt;/div&gt;</v>
      </c>
    </row>
    <row r="74" spans="1:3" ht="34.799999999999997">
      <c r="A74" s="4" t="s">
        <v>48</v>
      </c>
      <c r="C74" s="3" t="str">
        <f t="shared" si="1"/>
        <v>&lt;div class='layout'&gt;&lt;p&gt;Japanese surveillance records: Yu Xin-chun and Wang Zhen-suo eds., pp. 466–7&lt;/p&gt;&lt;p&gt;&lt;/p&gt;&lt;/div&gt;</v>
      </c>
    </row>
    <row r="75" spans="1:3" ht="87">
      <c r="A75" s="4" t="s">
        <v>49</v>
      </c>
      <c r="C75" s="3" t="str">
        <f t="shared" si="1"/>
        <v>&lt;div class='layout'&gt;&lt;p&gt;Ching-ling wedding: Shanghai Managing Committee of the Historical Objects of Sun Yat-sen and Soong Ching-ling ed., vol. 4, pp. 101–5; Yu Xin-chun and Wang Zhen-suo eds., pp. 78–80; Epstein, Israel, pp. 40–3; Yu Xin-chun and Wang Zhen-suo eds., p. 467; Rosholt, Malcolm, p. 116&lt;/p&gt;&lt;p&gt;&lt;/p&gt;&lt;/div&gt;</v>
      </c>
    </row>
    <row r="76" spans="1:3" ht="87">
      <c r="A76" s="4" t="s">
        <v>50</v>
      </c>
      <c r="C76" s="3" t="str">
        <f t="shared" si="1"/>
        <v>&lt;div class='layout'&gt;&lt;p&gt;to Israel Epstein: Epstein, Israel, p. 41; Charlie never forgave Sun: Lo Hui-Min, vol. 2, pp. 477–9; Shanghai Managing Committee of the Historical Objects of Sun Yat-sen and Soong Ching-ling ed., vol. 2, p. 295; Burke, James, p. 181&lt;/p&gt;&lt;p&gt;&lt;/p&gt;&lt;/div&gt;</v>
      </c>
    </row>
    <row r="77" spans="1:3" ht="34.799999999999997">
      <c r="A77" s="4" t="s">
        <v>197</v>
      </c>
      <c r="C77" s="3" t="str">
        <f t="shared" si="1"/>
        <v>&lt;div class='layout'&gt;&lt;p&gt;‘I am so absent-minded': Rosholt, Malcolm, p. 115; carved dragon: Lin Ke-guang et al., p. 16&lt;/p&gt;&lt;p&gt;&lt;/p&gt;&lt;/div&gt;</v>
      </c>
    </row>
    <row r="78" spans="1:3" ht="104.4">
      <c r="A78" s="4" t="s">
        <v>198</v>
      </c>
      <c r="C78" s="3" t="str">
        <f t="shared" si="1"/>
        <v>&lt;div class='layout'&gt;&lt;p&gt;Sun eager to exploit Yuan's vulnerability: Sun Yat-sen (Chen Xi-qi et al. eds.), vol. 1, pp. 976, 983–91; Sun Yat-sen, Collected Works, letter to Shanghai comrades, 1916/03/3, http://sunology.culture.tw/cgi-bin/gs32/s1gsweb.cgi?o=dcorpus&amp;s=id=%22TG0000001651%22.andsearchmode=basic&lt;/p&gt;&lt;p&gt;&lt;/p&gt;&lt;/div&gt;</v>
      </c>
    </row>
    <row r="79" spans="1:3" ht="104.4">
      <c r="A79" s="4" t="s">
        <v>339</v>
      </c>
      <c r="C79" s="3" t="str">
        <f t="shared" si="1"/>
        <v>&lt;div class='layout'&gt;&lt;p&gt;The assassination of Chen: Chen Qi-mei (Mo Yong-ming and Fan Ran eds.), pp. 426ff; Sun Yat-sen, Collected Works, letter to Huang Xing, 1916/05/20, http://sunology.culture.tw/cgi-bin/gs32/s1gsweb.cgi?o=dcorpus&amp;s=id=%22TG0000001707%22.&amp;searchmode=basic&lt;/p&gt;&lt;p&gt;&lt;/p&gt;&lt;/div&gt;</v>
      </c>
    </row>
    <row r="80" spans="1:3" ht="191.4">
      <c r="A80" s="4" t="s">
        <v>340</v>
      </c>
      <c r="C80" s="3" t="str">
        <f t="shared" si="1"/>
        <v>&lt;div class='layout'&gt;&lt;p&gt;After he was shot dead: Chiang Kai-shek (Chin Hsiao-i ed.), vol. 1, pp. 22–3; Sun Yat-sen, Collected Works, cable of condolences to the family of Chen Qui-mei, 1916/05, http://sunology.culture.tw/cgi-bin/gs32/s1gsweb.cgi?o=dcorpus&amp;s=id=%22TG0000001718%22.&amp;searchmode=basic; request for a state burial for Chen Qi-mei, 1916/05, http://sunology.culture.tw/cgi-bin/gs32/s1gsweb.cgi?o=dcorpus&amp;s=id=%22TG0000001794%22.&amp;searchmode=basic; Ching-ling jumped onto next ship: Soong Ching-ling (Shang Ming-xuan et al. eds.), vol. 1, pp. 89–90&lt;/p&gt;&lt;p&gt;&lt;/p&gt;&lt;/div&gt;</v>
      </c>
    </row>
    <row r="81" spans="1:3">
      <c r="A81" s="4" t="s">
        <v>53</v>
      </c>
      <c r="C81" s="3" t="str">
        <f t="shared" si="1"/>
        <v>&lt;div class='layout'&gt;&lt;p&gt;Chapter 6: To Become Mme Sun&lt;/p&gt;&lt;p&gt;&lt;/p&gt;&lt;/div&gt;</v>
      </c>
    </row>
    <row r="82" spans="1:3" ht="156.6">
      <c r="A82" s="4" t="s">
        <v>199</v>
      </c>
      <c r="C82" s="3" t="str">
        <f t="shared" si="1"/>
        <v>&lt;div class='layout'&gt;&lt;p&gt;Li no burning ambition: Sun Yat-sen, Collected Works, letter to Dai De-lu (James Deitrick), 1916/07/05, http://sunology.culture.tw/cgibin/gs32/s1gsweb.cgi?o=dcorpusands=id=%22TG0000001744%22.andsearchmode=basic [inactive]; Li Yuan-hong (Zhang Bei ed.), pp. 36–8, 53; Li offer, Sun turned it down: Sun Yat-sen (Chen Xi-qi et al. eds.), vol. 1, pp. 1004–5; ‘You must be careful': p. 1010; Documents from German archives: Li Guo-qi, p. 323; cf. Wang Jian and Chen Xian-chun&lt;/p&gt;&lt;p&gt;&lt;/p&gt;&lt;/div&gt;</v>
      </c>
    </row>
    <row r="83" spans="1:3" ht="34.799999999999997">
      <c r="A83" s="4" t="s">
        <v>54</v>
      </c>
      <c r="C83" s="3" t="str">
        <f t="shared" si="1"/>
        <v>&lt;div class='layout'&gt;&lt;p&gt;Germany money to Sun: Li Guo-qi, pp. 325–6; Wilbur, C. Martin, pp. 93–4; Tang Rui-xiang, pp. 10–13&lt;/p&gt;&lt;p&gt;&lt;/p&gt;&lt;/div&gt;</v>
      </c>
    </row>
    <row r="84" spans="1:3">
      <c r="A84" s="4" t="s">
        <v>55</v>
      </c>
      <c r="C84" s="3" t="str">
        <f t="shared" si="1"/>
        <v>&lt;div class='layout'&gt;&lt;p&gt;note Wilbur, C. Martin, pp. 93–4&lt;/p&gt;&lt;p&gt;&lt;/p&gt;&lt;/div&gt;</v>
      </c>
    </row>
    <row r="85" spans="1:3" ht="139.19999999999999">
      <c r="A85" s="4" t="s">
        <v>200</v>
      </c>
      <c r="C85" s="3" t="str">
        <f t="shared" si="1"/>
        <v>&lt;div class='layout'&gt;&lt;p&gt;‘provisional president' – ‘grand marshal': Sun Yat-sen (Chen Xi-qi et al. eds.), vol. 1, pp. 1051–3; Zhang Tai-yan, pp. 32–3; Tang Rui-xiang, pp. 26–8; naval chief Cheng Bi-guang: Luo Yi-qun, in CPPCC 1950s–, issue 4, pp. 9–10; issue 11, pp. 29–37; Sun Yat-sen (Chen Xi-qi et al. eds.), vol. 1, pp. 1089–92; Tang Rui-xiang, pp. 67, 90–1; Chen Jiong-ming (Chen Ding-yan ed.), pp. 475, 507; People who saw him: Chen Peng Jen, pp. 117–19&lt;/p&gt;&lt;p&gt;&lt;/p&gt;&lt;/div&gt;</v>
      </c>
    </row>
    <row r="86" spans="1:3" ht="121.8">
      <c r="A86" s="4" t="s">
        <v>201</v>
      </c>
      <c r="C86" s="3" t="str">
        <f t="shared" si="1"/>
        <v>&lt;div class='layout'&gt;&lt;p&gt;‘completely and helplessly alone': Sun Yat-sen, Collected Works, reply to Hong Kong businessman Chen Gengru, 1918, http://sunology.culture.tw/cgibin/gs32/s1gsweb.cgi?o=dcorpus&amp;s=id=%22TG0000002243%22.&amp;searchmode=basic [inactive]; ‘the handsomest': Haag, E. A., p. 199; George Sokolsky: New York Times Magazine, 10 January 1932&lt;/p&gt;&lt;p&gt;&lt;/p&gt;&lt;/div&gt;</v>
      </c>
    </row>
    <row r="87" spans="1:3" ht="156.6">
      <c r="A87" s="4" t="s">
        <v>202</v>
      </c>
      <c r="C87" s="3" t="str">
        <f t="shared" si="1"/>
        <v>&lt;div class='layout'&gt;&lt;p&gt;The Sun Theory: Sun Yat-sen, Collected Works, Chapter 5 of The Sun Theory, 1919/06, http://sunology.culture.tw/cgibin/gs32/s1gsweb.cgi?o=dcorpusands=id=%22CS0000000025%22andsearchmode=basic [inactive]; Sun Yat-sen (Chen Xi-qi et al. eds.), vol. 2, pp. 1175–6; ‘Obey me': Hu Shih, vol. 5, p. 596; May-ling to Emma Mills: 25 May 1919, Papers of Emma DeLong Mills, MSS.2, Wellesley College Archives; Ching-ling to Allie: Rosholt, Malcolm, p. 117&lt;/p&gt;&lt;p&gt;&lt;/p&gt;&lt;/div&gt;</v>
      </c>
    </row>
    <row r="88" spans="1:3" ht="87">
      <c r="A88" s="4" t="s">
        <v>203</v>
      </c>
      <c r="C88" s="3" t="str">
        <f t="shared" si="1"/>
        <v>&lt;div class='layout'&gt;&lt;p&gt;‘I'll give you 500 guns': Soong Ching-ling (Shang Ming-xuan et al. eds.), vol. 1, p. 105; envoys to Germany: Li Guo-qi, pp. 327–9; Kriukov, Mikhail, pp. 69–87; He implored Japan: Sun Yat-sen (Chen Xi-qi et al. eds.), vol. 1, p. 1133&lt;/p&gt;&lt;p&gt;&lt;/p&gt;&lt;/div&gt;</v>
      </c>
    </row>
    <row r="89" spans="1:3" ht="121.8">
      <c r="A89" s="4" t="s">
        <v>56</v>
      </c>
      <c r="C89" s="3" t="str">
        <f t="shared" si="1"/>
        <v>&lt;div class='layout'&gt;&lt;p&gt;Major Magruder observed: 1 March 1921, microfilm publication M329, Records of the Department of State Relating to Internal Affairs of China, 1910–1929, Roll 26, file number: 893.00/3811–3975; Major Philean: 28 April 1922, microfilm publication M329, Records of the Department of State Relating to Internal Affairs of China, 1910–1929, Roll 29, file number: 893.00/4241–4440&lt;/p&gt;&lt;p&gt;&lt;/p&gt;&lt;/div&gt;</v>
      </c>
    </row>
    <row r="90" spans="1:3" ht="121.8">
      <c r="A90" s="4" t="s">
        <v>204</v>
      </c>
      <c r="C90" s="3" t="str">
        <f t="shared" si="1"/>
        <v>&lt;div class='layout'&gt;&lt;p&gt;Hsu resignation: New York Times, 2 June 1922; Sun Yat-sen (Chen Xi-qi et al. eds.), vol. 2, pp. 1456–7; Tang Jia-xuan ed., p. 108; Tung, William L., pp. 186–7; Sun press conference: Chen Jiong-ming (Chen Ding-yan ed.), vol. 1, pp. 507–9; Sun fled ‘presidential palace': Sun Yat-sen (Chen Xi-qi et al. eds.), vol. 2, pp. 1463–5; Shang Ming-xuan et al. eds., pp. 134–5; Tang Rui-xiang, p. 151&lt;/p&gt;&lt;p&gt;&lt;/p&gt;&lt;/div&gt;</v>
      </c>
    </row>
    <row r="91" spans="1:3" ht="34.799999999999997">
      <c r="A91" s="4" t="s">
        <v>205</v>
      </c>
      <c r="C91" s="3" t="str">
        <f t="shared" si="1"/>
        <v>&lt;div class='layout'&gt;&lt;p&gt;only ‘to reconnoitre': Sun Yat-sen (Chen Xi-qi et al. eds.), vol. 2, p. 1465&lt;/p&gt;&lt;p&gt;&lt;/p&gt;&lt;/div&gt;</v>
      </c>
    </row>
    <row r="92" spans="1:3" ht="69.599999999999994">
      <c r="A92" s="4" t="s">
        <v>206</v>
      </c>
      <c r="C92" s="3" t="str">
        <f t="shared" si="1"/>
        <v>&lt;div class='layout'&gt;&lt;p&gt;Ching-ling's experience: her article reproduced in Hahn, Emily 2014b, pp. 98–101; Soong Ching-ling (Shang Ming-xuan et al. eds.), vol. 1, pp. 122–4; Soong Ching-ling Memorial Committee ed., p. 25&lt;/p&gt;&lt;p&gt;&lt;/p&gt;&lt;/div&gt;</v>
      </c>
    </row>
    <row r="93" spans="1:3" ht="104.4">
      <c r="A93" s="4" t="s">
        <v>207</v>
      </c>
      <c r="C93" s="3" t="str">
        <f t="shared" si="1"/>
        <v>&lt;div class='layout'&gt;&lt;p&gt;‘several minutes after': Tang Rui-xiang, p. 163; ‘chatted and laughed': Sun Yat-sen (Chen Xi-qi et al. eds.), vol. 2, pp. 1465–6; Ching-ling suffered miscarriage: Soong Ching-ling (Shang Ming-xuan et al. eds.), vol. 1, p. 122; Epstein, Israel, p. 97; close friends noticed: Hahn, Emily 2014b, p. 104&lt;/p&gt;&lt;p&gt;&lt;/p&gt;&lt;/div&gt;</v>
      </c>
    </row>
    <row r="94" spans="1:3" ht="34.799999999999997">
      <c r="A94" s="4" t="s">
        <v>57</v>
      </c>
      <c r="C94" s="3" t="str">
        <f t="shared" si="1"/>
        <v>&lt;div class='layout'&gt;&lt;p&gt;Emma Mills wrote: DeLong, Thomas A., pp. 52–3; Snow recorded: Snow, Edgar, p. 88&lt;/p&gt;&lt;p&gt;&lt;/p&gt;&lt;/div&gt;</v>
      </c>
    </row>
    <row r="95" spans="1:3" ht="52.2">
      <c r="A95" s="4" t="s">
        <v>208</v>
      </c>
      <c r="C95" s="3" t="str">
        <f t="shared" si="1"/>
        <v>&lt;div class='layout'&gt;&lt;p&gt;‘look after' Ching-ling: Shang Ming-xuan et al. eds., p. 650; ‘Will you do me a great favour?': Rosholt, Malcolm, p. 118&lt;/p&gt;&lt;p&gt;&lt;/p&gt;&lt;/div&gt;</v>
      </c>
    </row>
    <row r="96" spans="1:3" ht="34.799999999999997">
      <c r="A96" s="4" t="s">
        <v>209</v>
      </c>
      <c r="C96" s="3" t="str">
        <f t="shared" si="1"/>
        <v>&lt;div class='layout'&gt;&lt;p&gt;Chapter 7: ‘I wish to follow the example of my friend Lenin'&lt;/p&gt;&lt;p&gt;&lt;/p&gt;&lt;/div&gt;</v>
      </c>
    </row>
    <row r="97" spans="1:3" ht="69.599999999999994">
      <c r="A97" s="4" t="s">
        <v>210</v>
      </c>
      <c r="C97" s="3" t="str">
        <f t="shared" si="1"/>
        <v>&lt;div class='layout'&gt;&lt;p&gt;messenger to Moscow's men: Far Eastern Affairs, 1987, 2, p. 102; Sun Yat-sen (Chen Xi-qi et al. eds.), vol. 2, pp. 1472–3; Sun messages to Moscow: Huang Xiu-rong et al. eds., 1920–1925, pp. 110, 166, 149, 213&lt;/p&gt;&lt;p&gt;&lt;/p&gt;&lt;/div&gt;</v>
      </c>
    </row>
    <row r="98" spans="1:3" ht="69.599999999999994">
      <c r="A98" s="4" t="s">
        <v>211</v>
      </c>
      <c r="C98" s="3" t="str">
        <f t="shared" si="1"/>
        <v>&lt;div class='layout'&gt;&lt;p&gt;2 million gold roubles annually: Huang Xiu-rong et al. eds., 1920–1925, pp. 217, 226; Sun Yat-sen (Chen Xi-qi et al. eds.), vol. 2, pp. 1567, 1623; ‘a leonine head': Soong May-ling 1977, pp. 8–9&lt;/p&gt;&lt;p&gt;&lt;/p&gt;&lt;/div&gt;</v>
      </c>
    </row>
    <row r="99" spans="1:3" ht="69.599999999999994">
      <c r="A99" s="4" t="s">
        <v>212</v>
      </c>
      <c r="C99" s="3" t="str">
        <f t="shared" si="1"/>
        <v>&lt;div class='layout'&gt;&lt;p&gt;Borodin wrote to Moscow: Sun Yat-sen (Chen Xi-qi et al. eds.), vol. 2, pp. 1698–9; CCP founded in 1920: Chang, Jung and Halliday, Jon, Chapter 2; ‘I do not care': Wilbur, C. Martin, p. 146&lt;/p&gt;&lt;p&gt;&lt;/p&gt;&lt;/div&gt;</v>
      </c>
    </row>
    <row r="100" spans="1:3" ht="34.799999999999997">
      <c r="A100" s="4" t="s">
        <v>58</v>
      </c>
      <c r="C100" s="3" t="str">
        <f t="shared" si="1"/>
        <v>&lt;div class='layout'&gt;&lt;p&gt;Ching-ling government scholarship: Zhang Hai-lin, pp. 354–5&lt;/p&gt;&lt;p&gt;&lt;/p&gt;&lt;/div&gt;</v>
      </c>
    </row>
    <row r="101" spans="1:3" ht="52.2">
      <c r="A101" s="4" t="s">
        <v>213</v>
      </c>
      <c r="C101" s="3" t="str">
        <f t="shared" si="1"/>
        <v>&lt;div class='layout'&gt;&lt;p&gt;to Western observers: Tuchman, Barbara W., p. 87; Life magazine remarked: Life, vol. 8, no. 10; ‘China's honest warlord': Time, 8 September 1924&lt;/p&gt;&lt;p&gt;&lt;/p&gt;&lt;/div&gt;</v>
      </c>
    </row>
    <row r="102" spans="1:3" ht="34.799999999999997">
      <c r="A102" s="4" t="s">
        <v>214</v>
      </c>
      <c r="C102" s="3" t="str">
        <f t="shared" si="1"/>
        <v>&lt;div class='layout'&gt;&lt;p&gt;‘the language of the colonialists': Epstein, Israel, p. 116&lt;/p&gt;&lt;p&gt;&lt;/p&gt;&lt;/div&gt;</v>
      </c>
    </row>
    <row r="103" spans="1:3" ht="69.599999999999994">
      <c r="A103" s="4" t="s">
        <v>215</v>
      </c>
      <c r="C103" s="3" t="str">
        <f t="shared" si="1"/>
        <v>&lt;div class='layout'&gt;&lt;p&gt;Ching-ling to Borodin: Far Eastern Affairs, 30 June 2003 REA-No. 002, pp. 121–6; ‘preside over the country': Sun Yat-sen (Chen Xi-qi et al. eds.), vol. 2, pp. 2042, 2048, 2052&lt;/p&gt;&lt;p&gt;&lt;/p&gt;&lt;/div&gt;</v>
      </c>
    </row>
    <row r="104" spans="1:3" ht="52.2">
      <c r="A104" s="4" t="s">
        <v>59</v>
      </c>
      <c r="C104" s="3" t="str">
        <f t="shared" si="1"/>
        <v>&lt;div class='layout'&gt;&lt;p&gt;Borodin told the Kremlin: Huang Xiu-rong et al. eds., 1920–1925, pp. 567–8; Japanese government rejected Sun: Sun Yat-sen (Chen Xi-qi et al. eds.), vol. 2, pp. 2072–3&lt;/p&gt;&lt;p&gt;&lt;/p&gt;&lt;/div&gt;</v>
      </c>
    </row>
    <row r="105" spans="1:3" ht="104.4">
      <c r="A105" s="4" t="s">
        <v>216</v>
      </c>
      <c r="C105" s="3" t="str">
        <f t="shared" si="1"/>
        <v>&lt;div class='layout'&gt;&lt;p&gt;Borodin noticed the gloom: Huang Xiu-rong et al. eds., 1920–1925, p. 568; ‘a good man': K'ung Hsiang-hsi, p. 57; Old Man Sun: Huang Xiu-rong et al. eds., 1920–1925, p. 572; Zhang Zuo-lin: McCormack, Gavan, pp. 87–8, 253; Shang Ming-xuan et al. eds., p. 413; Huang Xiu-rong et al. eds., 1920–1925, p. 570&lt;/p&gt;&lt;p&gt;&lt;/p&gt;&lt;/div&gt;</v>
      </c>
    </row>
    <row r="106" spans="1:3" ht="69.599999999999994">
      <c r="A106" s="4" t="s">
        <v>60</v>
      </c>
      <c r="C106" s="3" t="str">
        <f t="shared" si="1"/>
        <v>&lt;div class='layout'&gt;&lt;p&gt;Sun illness and pain: Huang Xiu-rong et al. eds., 1920–1925, p. 568; Sun Yat-sen (Chen Xi-qi et al. eds.), vol. 2, p. 2089; Shang Ming-xuan et al. eds., p. 649; Ching-ling to Allie: Rosholt, Malcolm, p. 120&lt;/p&gt;&lt;p&gt;&lt;/p&gt;&lt;/div&gt;</v>
      </c>
    </row>
    <row r="107" spans="1:3" ht="69.599999999999994">
      <c r="A107" s="4" t="s">
        <v>61</v>
      </c>
      <c r="C107" s="3" t="str">
        <f t="shared" si="1"/>
        <v>&lt;div class='layout'&gt;&lt;p&gt;she was seen weeping: Shang Ming-xuan et al. eds., p. 650; Sun Yat-sen (Chen Xu-lu and Hao Sheng-chao eds.), p. 325; their last conversation: Lee Yung, in Shang Ming-xuan et al. eds., p. 650&lt;/p&gt;&lt;p&gt;&lt;/p&gt;&lt;/div&gt;</v>
      </c>
    </row>
    <row r="108" spans="1:3" ht="52.2">
      <c r="A108" s="4" t="s">
        <v>341</v>
      </c>
      <c r="C108" s="3" t="str">
        <f t="shared" si="1"/>
        <v>&lt;div class='layout'&gt;&lt;p&gt;Ei-ling and May-ling to Beijing: May-ling to Liao Cheng-zhi, 1982–8–17, https://www.bannedbook.org/bnews/zh-tw/lishi/20120916/664998.html&lt;/p&gt;&lt;p&gt;&lt;/p&gt;&lt;/div&gt;</v>
      </c>
    </row>
    <row r="109" spans="1:3" ht="104.4">
      <c r="A109" s="4" t="s">
        <v>217</v>
      </c>
      <c r="C109" s="3" t="str">
        <f t="shared" si="1"/>
        <v>&lt;div class='layout'&gt;&lt;p&gt;Wang Jing-wei at Sun's deathbed: Sun Yat-sen (Chen Xu-lu and Hao Sheng-chao eds.), pp. 323–6; Soong Ching-ling (China Welfare ed.), p. 189; Huang Xiu-rong et al. eds., 1920–1925, pp. 574, 578; Ishikawa, Yoshihiro; Sun Yat-sen (Chen Xi-qi et al. eds.), vol. 2, p. 2125; ‘Deathbed Letter to Soviet Government': Ishikawa, Yoshihiro&lt;/p&gt;&lt;p&gt;&lt;/p&gt;&lt;/div&gt;</v>
      </c>
    </row>
    <row r="110" spans="1:3" ht="69.599999999999994">
      <c r="A110" s="4" t="s">
        <v>218</v>
      </c>
      <c r="C110" s="3" t="str">
        <f t="shared" si="1"/>
        <v>&lt;div class='layout'&gt;&lt;p&gt;On 11 March: Sun Yat-sen (Chen Xi-qi et al. eds.), vol. 2, pp. 2130–2; ‘to prove that': Epstein, Israel, p. 135; Tang, Earnest, p. 100–2; ‘I wish to follow': Sun Yat-sen (Chen Xi-qi et al. eds.), vol. 2, p. 2132&lt;/p&gt;&lt;p&gt;&lt;/p&gt;&lt;/div&gt;</v>
      </c>
    </row>
    <row r="111" spans="1:3" ht="104.4">
      <c r="A111" s="4" t="s">
        <v>219</v>
      </c>
      <c r="C111" s="3" t="str">
        <f t="shared" si="1"/>
        <v>&lt;div class='layout'&gt;&lt;p&gt;‘the Father of China': Li Gong-zhong, p. 234; Shanghai Managing Committee of the Historical Objects of Sun Yat-sen and Soong Ching-ling ed., vol. 3, p. 386; Nationalist propagandists: Li Gong-zhong, pp. 237–42; ‘no one else': Li Gong-zhong, pp. 165–70; locals petitioned: Li Gong-zhong, pp. 128–9&lt;/p&gt;&lt;p&gt;&lt;/p&gt;&lt;/div&gt;</v>
      </c>
    </row>
    <row r="112" spans="1:3">
      <c r="A112" s="4" t="s">
        <v>63</v>
      </c>
      <c r="C112" s="3" t="str">
        <f t="shared" si="1"/>
        <v>&lt;div class='layout'&gt;&lt;p&gt;Chapter 8: Shanghai Ladies&lt;/p&gt;&lt;p&gt;&lt;/p&gt;&lt;/div&gt;</v>
      </c>
    </row>
    <row r="113" spans="1:3" ht="69.599999999999994">
      <c r="A113" s="4" t="s">
        <v>220</v>
      </c>
      <c r="C113" s="3" t="str">
        <f t="shared" si="1"/>
        <v>&lt;div class='layout'&gt;&lt;p&gt;May-ling school days: Wesleyan College Archives and Special Collections: ‘article – undated, 2/10', ‘Sketches – Questionnaire Replied – Circa 1943'; Pakula, Hannah, p. 25&lt;/p&gt;&lt;p&gt;&lt;/p&gt;&lt;/div&gt;</v>
      </c>
    </row>
    <row r="114" spans="1:3" ht="104.4">
      <c r="A114" s="4" t="s">
        <v>221</v>
      </c>
      <c r="C114" s="3" t="str">
        <f t="shared" si="1"/>
        <v>&lt;div class='layout'&gt;&lt;p&gt;‘how I used to cook': 22 June 1941, T.V. Soong Papers, Hoover Institution Archives, Box 61, folder no. 31; ‘Brother and I': 4 July 1917, Papers of Emma DeLong Mills, MSS.2, Wellesley College Archives; first letter from Shanghai: 7 Aug. 1917, Papers of Emma DeLong Mills, MSS.2, Wellesley College Archives&lt;/p&gt;&lt;p&gt;&lt;/p&gt;&lt;/div&gt;</v>
      </c>
    </row>
    <row r="115" spans="1:3" ht="243.6">
      <c r="A115" s="4" t="s">
        <v>64</v>
      </c>
      <c r="C115" s="3" t="str">
        <f t="shared" si="1"/>
        <v>&lt;div class='layout'&gt;&lt;p&gt;all other quotes of May-ling to Emma: 16 August 1917, 6 September 1917, 13 September 1917, 15 September 1917, 26 October 1917, 4 November 1917, 12 November 1917, 7 December 1917, 15 December 1917, 28 December 1917; 13 January 1918, 8 February 1918, 6 March 1918, 19 March 1918, 11 April 1918, 25 April 1918, 26 April 1918, 29 April 1918, 15 May 1918, 18 July 1918, 29 July 1918, 2 August 1918, 24 August 1918, 2 September 1918, 20 September 1918; 7 January 1919, 9 April 1919, 25 May 1919, 24 July 1919, 9 September 1919, 29 September 1919, 18 November 1919; 11 February 1920, 28 February 1920, 21 March 1920, 5 September 1920, 11 October 1920; 28 April 1921, 25 May 1921, 6 July 1921, 25 July 1921; Papers of Emma DeLong Mills, MSS.2, Wellesley College Archives&lt;/p&gt;&lt;p&gt;&lt;/p&gt;&lt;/div&gt;</v>
      </c>
    </row>
    <row r="116" spans="1:3" ht="34.799999999999997">
      <c r="A116" s="4" t="s">
        <v>65</v>
      </c>
      <c r="C116" s="3" t="str">
        <f t="shared" si="1"/>
        <v>&lt;div class='layout'&gt;&lt;p&gt;lifelong regret for May-ling: Chiang Ching-kuo (Zhou Mei-hua and Xiao Li-ju eds.), vol. 1, p. 366&lt;/p&gt;&lt;p&gt;&lt;/p&gt;&lt;/div&gt;</v>
      </c>
    </row>
    <row r="117" spans="1:3" ht="52.2">
      <c r="A117" s="4" t="s">
        <v>66</v>
      </c>
      <c r="C117" s="3" t="str">
        <f t="shared" si="1"/>
        <v>&lt;div class='layout'&gt;&lt;p&gt;about five foot three: interviews with Dr Jan Kung-ming, physician who treated May-ling in her last years; Chen Li-wen ed. 2014, p. 149&lt;/p&gt;&lt;p&gt;&lt;/p&gt;&lt;/div&gt;</v>
      </c>
    </row>
    <row r="118" spans="1:3">
      <c r="A118" s="4" t="s">
        <v>67</v>
      </c>
      <c r="C118" s="3" t="str">
        <f t="shared" si="1"/>
        <v>&lt;div class='layout'&gt;&lt;p&gt;Chapter 9: May-ling Meets the Generalissimo&lt;/p&gt;&lt;p&gt;&lt;/p&gt;&lt;/div&gt;</v>
      </c>
    </row>
    <row r="119" spans="1:3" ht="139.19999999999999">
      <c r="A119" s="4" t="s">
        <v>222</v>
      </c>
      <c r="C119" s="3" t="str">
        <f t="shared" si="1"/>
        <v>&lt;div class='layout'&gt;&lt;p&gt;favourable attention of Sun: Chiang diary, 26 July 1943, in Yang Tian-shi 2008, vol. 1, p. 12; Chiang kept distance from Sun: Chiang Kai-shek (The Second Historical Archives of China ed.), pp. 24–5, 63ff; ‘In my observation': 14 March 1924, Chiang Kai-shek (The Second Historical Archives of China ed.), p. 167; Liao's reply: Chiang Kai-shek (The Second Historical Archives of China ed.), pp. 168–9&lt;/p&gt;&lt;p&gt;&lt;/p&gt;&lt;/div&gt;</v>
      </c>
    </row>
    <row r="120" spans="1:3" ht="139.19999999999999">
      <c r="A120" s="4" t="s">
        <v>223</v>
      </c>
      <c r="C120" s="3" t="str">
        <f t="shared" si="1"/>
        <v>&lt;div class='layout'&gt;&lt;p&gt;‘Chiang is an ordinary soldier': Huang Xiu-rong et al. eds., 1920–1925, pp. 383–5; Liao told Borodin: Huang Xiu-rong et al. eds., 1920–1925, pp. 383–4; Borodin was taken in: Zhang Ke, in Shanghai Managing Committee of the Historical Objects of Sun Yat-sen and Soong Ching-ling, and Shanghai Association for Soong Ching-ling Studies eds. 2013b, p. 629; Epstein, Israel, p. 192; Huang Xiu-rong et al. eds., 1926–1927, vol. 1, p. 141&lt;/p&gt;&lt;p&gt;&lt;/p&gt;&lt;/div&gt;</v>
      </c>
    </row>
    <row r="121" spans="1:3" ht="121.8">
      <c r="A121" s="4" t="s">
        <v>68</v>
      </c>
      <c r="C121" s="3" t="str">
        <f t="shared" si="1"/>
        <v>&lt;div class='layout'&gt;&lt;p&gt;Chiang smokescreen: Chiang Kai-shek (The Second Historical Archives of China ed.), pp. 538–9; Yang Tian-shi 2008, vol. 1, pp. 130–1; Yang Tian-shi 2010, p. 337; Russians misreading Chiang: Huang Xiu-rong et al. eds., 1926–1927, vol. 1, pp. 169–88; Chiang Kai-shek (The Second Historical Archives of China ed.), pp. 528, 536–7, 540, 554&lt;/p&gt;&lt;p&gt;&lt;/p&gt;&lt;/div&gt;</v>
      </c>
    </row>
    <row r="122" spans="1:3" ht="52.2">
      <c r="A122" s="4" t="s">
        <v>224</v>
      </c>
      <c r="C122" s="3" t="str">
        <f t="shared" si="1"/>
        <v>&lt;div class='layout'&gt;&lt;p&gt;‘very much keener': 6 July 1921, Papers of Emma DeLong Mills, MSS.2, Wellesley College Archives; Ei-ling anti-Communist: K'ung Hsiang-hsi, p. 54&lt;/p&gt;&lt;p&gt;&lt;/p&gt;&lt;/div&gt;</v>
      </c>
    </row>
    <row r="123" spans="1:3" ht="34.799999999999997">
      <c r="A123" s="4" t="s">
        <v>225</v>
      </c>
      <c r="C123" s="3" t="str">
        <f t="shared" si="1"/>
        <v>&lt;div class='layout'&gt;&lt;p&gt;Jennie's account of dinner party: Ch'en Chieh-ju (Eastman, Lloyd E. ed.), pp. 186–93&lt;/p&gt;&lt;p&gt;&lt;/p&gt;&lt;/div&gt;</v>
      </c>
    </row>
    <row r="124" spans="1:3" ht="69.599999999999994">
      <c r="A124" s="4" t="s">
        <v>69</v>
      </c>
      <c r="C124" s="3" t="str">
        <f t="shared" si="1"/>
        <v>&lt;div class='layout'&gt;&lt;p&gt;Ei-ling considered grande dame: 6 July 1921, Papers of Emma DeLong Mills, MSS.2, Wellesley College Archives; May-ling to Emma: 12 Nov.1917, Papers of Emma DeLong Mills, MSS.2, Wellesley College Archives&lt;/p&gt;&lt;p&gt;&lt;/p&gt;&lt;/div&gt;</v>
      </c>
    </row>
    <row r="125" spans="1:3" ht="87">
      <c r="A125" s="4" t="s">
        <v>70</v>
      </c>
      <c r="C125" s="3" t="str">
        <f t="shared" si="1"/>
        <v>&lt;div class='layout'&gt;&lt;p&gt;May-ling gave Chiang her address: Yang Tian-shi 2010, p. 340; Chiang wrote in his diary: 2 July 1926, Chiang Kai-shek Diaries, Hoover Institution Archives; Ei-ling and T.V. reaction: Yang Tian-shi 2010, p. 341; Lu Fang-shang ed., p. 60&lt;/p&gt;&lt;p&gt;&lt;/p&gt;&lt;/div&gt;</v>
      </c>
    </row>
    <row r="126" spans="1:3" ht="208.8">
      <c r="A126" s="4" t="s">
        <v>226</v>
      </c>
      <c r="C126" s="3" t="str">
        <f t="shared" si="1"/>
        <v>&lt;div class='layout'&gt;&lt;p&gt;‘literally dragged me home': 21 April and 25 May 1921, Papers of Emma DeLong Mills, MSS.2, Wellesley College Archives; H.H. attitude to Canton: K'ung Hsiang-hsi, p. 45; Of Marshal Wu Pei-fu: K'ung Hsiang-hsi, p. 46; with President Hsu Shih-chang: May-ling to Emma, 14 Nov.1918, Papers of Emma DeLong Mills, MSS.2, Wellesley College Archives; K'ung Hsiang-hsi, p. 45; Kungs' life in Beijing: May-ling to Emma, 20 September 1918, 29 October 1918, 9 September 1926, Papers of Emma DeLong Mills, MSS.2, Wellesley College Archives; Chiang rightly surmised: Yang Tian-shi 2010, p. 341; ‘New Strong Man': New York Times, 14 November 1926&lt;/p&gt;&lt;p&gt;&lt;/p&gt;&lt;/div&gt;</v>
      </c>
    </row>
    <row r="127" spans="1:3">
      <c r="A127" s="4" t="s">
        <v>71</v>
      </c>
      <c r="C127" s="3" t="str">
        <f t="shared" si="1"/>
        <v>&lt;div class='layout'&gt;&lt;p&gt;Vincent Sheean observed: Sheean, Vincent, pp. 218–19&lt;/p&gt;&lt;p&gt;&lt;/p&gt;&lt;/div&gt;</v>
      </c>
    </row>
    <row r="128" spans="1:3" ht="69.599999999999994">
      <c r="A128" s="4" t="s">
        <v>227</v>
      </c>
      <c r="C128" s="3" t="str">
        <f t="shared" si="1"/>
        <v>&lt;div class='layout'&gt;&lt;p&gt;May-ling appalled: Soong May-ling (Madame Chiang Kai-shek) 1977, pp. 5, 69–75; ‘May-ling, darling': Hahn, Emily 1955, p. 87; conversations with Borodin: Soong May-ling (Madame Chiang Kai-shek) 1977, pp. 7, 60&lt;/p&gt;&lt;p&gt;&lt;/p&gt;&lt;/div&gt;</v>
      </c>
    </row>
    <row r="129" spans="1:3" ht="104.4">
      <c r="A129" s="4" t="s">
        <v>228</v>
      </c>
      <c r="C129" s="3" t="str">
        <f t="shared" si="1"/>
        <v>&lt;div class='layout'&gt;&lt;p&gt;‘fashionably gowned': New York Times, 9 September 1927; Yang Tian-shi 2010, p. 346; their engagement: Yang Tian-shi 2010, p. 347; Meeting Mrs Soong: exhibit, The Chiang Kai-shek Memorial Hall, Taipei; The wedding: May-ling to Emma, 24 January 1928, Papers of Emma DeLong Mills, MSS.2, Wellesley College Archives; Hahn, Emily 2014b, pp. 123–4&lt;/p&gt;&lt;p&gt;&lt;/p&gt;&lt;/div&gt;</v>
      </c>
    </row>
    <row r="130" spans="1:3" ht="104.4">
      <c r="A130" s="4" t="s">
        <v>72</v>
      </c>
      <c r="C130" s="3" t="str">
        <f t="shared" ref="C130:C193" si="2">CONCATENATE("&lt;div class='layout'&gt;&lt;p&gt;",A130,"&lt;/p&gt;","&lt;p&gt;",B130,"&lt;/p&gt;","&lt;/div&gt;")</f>
        <v>&lt;div class='layout'&gt;&lt;p&gt;Chiang talks with Big Sister: 11 and 21 December 1927, Chiang diaries, Hoover Institution Archives; Chiang on Duan Qi-rui: Chiang Kai-shek (Chin Hsiao-i ed.), vol. 3, p. 996; Ei-ling told Chiang off: 28 December 1927, Chiang diaries, Hoover Institution Archives; people close to them testify: e.g. Wu Kuo-Cheng, p. 15&lt;/p&gt;&lt;p&gt;&lt;/p&gt;&lt;/div&gt;</v>
      </c>
    </row>
    <row r="131" spans="1:3">
      <c r="A131" s="4" t="s">
        <v>73</v>
      </c>
      <c r="C131" s="3" t="str">
        <f t="shared" si="2"/>
        <v>&lt;div class='layout'&gt;&lt;p&gt;Chapter 10: Married to a Beleaguered Dictator&lt;/p&gt;&lt;p&gt;&lt;/p&gt;&lt;/div&gt;</v>
      </c>
    </row>
    <row r="132" spans="1:3" ht="69.599999999999994">
      <c r="A132" s="4" t="s">
        <v>229</v>
      </c>
      <c r="C132" s="3" t="str">
        <f t="shared" si="2"/>
        <v>&lt;div class='layout'&gt;&lt;p&gt;a flaming row: 29 December 1927, Chiang Kai-shek Diaries, Hoover Institution Archives; ‘rather agreed with her': 30 December 1927, Chiang Kai-shek Diaries, Hoover Institution Archives&lt;/p&gt;&lt;p&gt;&lt;/p&gt;&lt;/div&gt;</v>
      </c>
    </row>
    <row r="133" spans="1:3" ht="69.599999999999994">
      <c r="A133" s="4" t="s">
        <v>230</v>
      </c>
      <c r="C133" s="3" t="str">
        <f t="shared" si="2"/>
        <v>&lt;div class='layout'&gt;&lt;p&gt;‘Here was my opportunity': Soong May-ling (Madame Chiang Kai-shek) 1934, p. 133; half of his victory: Chiang Kai-shek: Family Correspondence, 1928; Lu Fang-shang ed., p. 61&lt;/p&gt;&lt;p&gt;&lt;/p&gt;&lt;/div&gt;</v>
      </c>
    </row>
    <row r="134" spans="1:3" ht="87">
      <c r="A134" s="4" t="s">
        <v>231</v>
      </c>
      <c r="C134" s="3" t="str">
        <f t="shared" si="2"/>
        <v>&lt;div class='layout'&gt;&lt;p&gt;Marshal Wu Pei-fu: Gu Li-juan and Yuan Xiang-fu, vol. 3, pp. 1708–15; Koo, V. K. Wellington 2013, vol. 1, p. 287; ‘methods of struggle': Huang Xiu-rong et al. eds., 1920–1925, p. 574; ‘thunderous silence': Tuchman, Barbara W., p. 151&lt;/p&gt;&lt;p&gt;&lt;/p&gt;&lt;/div&gt;</v>
      </c>
    </row>
    <row r="135" spans="1:3" ht="52.2">
      <c r="A135" s="4" t="s">
        <v>232</v>
      </c>
      <c r="C135" s="3" t="str">
        <f t="shared" si="2"/>
        <v>&lt;div class='layout'&gt;&lt;p&gt;he talked about how Sun's: 13 April 1931, in Yang Tian-shi 2002, p. 32; English newsreel: YouTube: https://youtube.com/watch?v=Mej3UnDDjoQ&lt;/p&gt;&lt;p&gt;&lt;/p&gt;&lt;/div&gt;</v>
      </c>
    </row>
    <row r="136" spans="1:3" ht="121.8">
      <c r="A136" s="4" t="s">
        <v>233</v>
      </c>
      <c r="C136" s="3" t="str">
        <f t="shared" si="2"/>
        <v>&lt;div class='layout'&gt;&lt;p&gt;‘so we revolutionaries': Sun Yat-sen, Collected Works, speech on ‘tutelage', 1920/11/09, http://sunology.culture.tw/cgi-bin/gs32/s1gsweb.cgi?o=dcorpusands=id=%22SP0000000734%22.andsearchmode=basic; Li Gong-zhong, p. 300; Hu Shih wrote: Hu Shih, vol. 5, pp. 523, 579, 588; Yi Zhu-xian, pp. 292–322; Yang Tian-shi 2008, vol. 1, pp. 177–8&lt;/p&gt;&lt;p&gt;&lt;/p&gt;&lt;/div&gt;</v>
      </c>
    </row>
    <row r="137" spans="1:3" ht="104.4">
      <c r="A137" s="4" t="s">
        <v>234</v>
      </c>
      <c r="C137" s="3" t="str">
        <f t="shared" si="2"/>
        <v>&lt;div class='layout'&gt;&lt;p&gt;‘a reactionary': Hu Shih, vol. 5, p. 525; Wellington Koo's mansion: Koo, V.K. Wellington, Columbia University Archives, Vol. 3, Part 2, Sect. H, J, pp. 304–5; Koo, V.K. Wellington 2013, p. 391; Koo (Madame Wellington Koo), pp. 152–4 ; the Farmers' Bank: Chiang diary, 5 July 1934, in Lu Fang-shang ed., p. 64&lt;/p&gt;&lt;p&gt;&lt;/p&gt;&lt;/div&gt;</v>
      </c>
    </row>
    <row r="138" spans="1:3" ht="34.799999999999997">
      <c r="A138" s="4" t="s">
        <v>74</v>
      </c>
      <c r="C138" s="3" t="str">
        <f t="shared" si="2"/>
        <v>&lt;div class='layout'&gt;&lt;p&gt;note Koo, V.K. Wellington, Columbia University Archives, Vol. 3, Part 2, Sect. H, J, p. 305&lt;/p&gt;&lt;p&gt;&lt;/p&gt;&lt;/div&gt;</v>
      </c>
    </row>
    <row r="139" spans="1:3" ht="87">
      <c r="A139" s="4" t="s">
        <v>75</v>
      </c>
      <c r="C139" s="3" t="str">
        <f t="shared" si="2"/>
        <v>&lt;div class='layout'&gt;&lt;p&gt;Assassination attempts and May-ling miscarriage: 24 August–6 September 1929, Chiang Kai-shek Diaries, Hoover Institution Archives; Oursler, Fulton, pp. 350–3; New York Times, 7 September 1929; yet another nightmare: Chen Li-wen ed. 2014, pp. 24–5&lt;/p&gt;&lt;p&gt;&lt;/p&gt;&lt;/div&gt;</v>
      </c>
    </row>
    <row r="140" spans="1:3" ht="121.8">
      <c r="A140" s="4" t="s">
        <v>76</v>
      </c>
      <c r="C140" s="3" t="str">
        <f t="shared" si="2"/>
        <v>&lt;div class='layout'&gt;&lt;p&gt;May-ling in Big War of Central China: Chiang Kai-shek: Family Correspondence, 1930; Yang Tian-shi 2010, pp. 357–8; payments to the Young Marshal: May-ling to Chiang, 19 September 1930, Chiang Kai-shek: Family Correspondence; Koo, V.K. Wellington, Columbia University Archives, Vol. 3, Part 1, Sect. E – G, p. 141; Koo, V.K. Wellington 2013, pp. 299–300; Yang Tian-shi 2010, pp. 357–8&lt;/p&gt;&lt;p&gt;&lt;/p&gt;&lt;/div&gt;</v>
      </c>
    </row>
    <row r="141" spans="1:3" ht="69.599999999999994">
      <c r="A141" s="4" t="s">
        <v>235</v>
      </c>
      <c r="C141" s="3" t="str">
        <f t="shared" si="2"/>
        <v>&lt;div class='layout'&gt;&lt;p&gt;Chiang to Ei-ling and Mrs Soong: Chiang Kai-shek: Family Correspondence, 1930–1; Sun's old associates: K'ung Hsiang-hsi, pp. 74–7; diaries are littered with: Lu Fang-shang ed., pp. 30, 34&lt;/p&gt;&lt;p&gt;&lt;/p&gt;&lt;/div&gt;</v>
      </c>
    </row>
    <row r="142" spans="1:3" ht="87">
      <c r="A142" s="4" t="s">
        <v>236</v>
      </c>
      <c r="C142" s="3" t="str">
        <f t="shared" si="2"/>
        <v>&lt;div class='layout'&gt;&lt;p&gt;In his own family: Lu Fang-shang ed., pp. 28, 69; Chen's two nephews: Wu Kuo-Cheng, pp. 16–17, 134, 190; Ei-ling had Chiang's ear: Lu Fang-shang ed., p. 69; Chiang Kai-shek: Family Correspondence, passim; ‘do the minimum': Hu Shih, vol. 5, p. 588&lt;/p&gt;&lt;p&gt;&lt;/p&gt;&lt;/div&gt;</v>
      </c>
    </row>
    <row r="143" spans="1:3">
      <c r="A143" s="4" t="s">
        <v>77</v>
      </c>
      <c r="C143" s="3" t="str">
        <f t="shared" si="2"/>
        <v>&lt;div class='layout'&gt;&lt;p&gt;note Shou Chong-yi ed., p. 42; Snow, Edgar, p. 95&lt;/p&gt;&lt;p&gt;&lt;/p&gt;&lt;/div&gt;</v>
      </c>
    </row>
    <row r="144" spans="1:3" ht="34.799999999999997">
      <c r="A144" s="4" t="s">
        <v>237</v>
      </c>
      <c r="C144" s="3" t="str">
        <f t="shared" si="2"/>
        <v>&lt;div class='layout'&gt;&lt;p&gt;‘have no shame': Huang Zi-jin and Pan Guang-zhe, vol. 1, pp. 602–7&lt;/p&gt;&lt;p&gt;&lt;/p&gt;&lt;/div&gt;</v>
      </c>
    </row>
    <row r="145" spans="1:3" ht="121.8">
      <c r="A145" s="4" t="s">
        <v>78</v>
      </c>
      <c r="C145" s="3" t="str">
        <f t="shared" si="2"/>
        <v>&lt;div class='layout'&gt;&lt;p&gt;May-ling wrote in 1934: Soong May-ling (Madame Chiang Kai-shek) 1934, pp. 131–3; when Mrs Soong died: Soong May-ling (Madame Chiang Kai-shek) 1955, pp. 10–11; cf. Chiang Kai-shek: Family Correspondence, 1931–2; Shanghai Managing Committee of the Historical Objects of Sun Yat-sen and Soong Ching-ling, and Shanghai Association for Soong Ching-ling Studies eds., 2013a, p. 127&lt;/p&gt;&lt;p&gt;&lt;/p&gt;&lt;/div&gt;</v>
      </c>
    </row>
    <row r="146" spans="1:3" ht="34.799999999999997">
      <c r="A146" s="4" t="s">
        <v>79</v>
      </c>
      <c r="C146" s="3" t="str">
        <f t="shared" si="2"/>
        <v>&lt;div class='layout'&gt;&lt;p&gt;assassination attempt on T.V.: Han Li-guan and Chen Li-ping, pp. 53–70; North China Herald, 23 July 1931&lt;/p&gt;&lt;p&gt;&lt;/p&gt;&lt;/div&gt;</v>
      </c>
    </row>
    <row r="147" spans="1:3" ht="69.599999999999994">
      <c r="A147" s="4" t="s">
        <v>238</v>
      </c>
      <c r="C147" s="3" t="str">
        <f t="shared" si="2"/>
        <v>&lt;div class='layout'&gt;&lt;p&gt;other gunmen shot at Chiang: New York Times, 30 July 1931; Chiang Kai-shek: Family Correspondence, 2 August 1931; ‘the depths of despair': Soong May-ling (Madame Chiang Kai-shek) 1934, p. 133&lt;/p&gt;&lt;p&gt;&lt;/p&gt;&lt;/div&gt;</v>
      </c>
    </row>
    <row r="148" spans="1:3">
      <c r="A148" s="4" t="s">
        <v>80</v>
      </c>
      <c r="C148" s="3" t="str">
        <f t="shared" si="2"/>
        <v>&lt;div class='layout'&gt;&lt;p&gt;Chapter 11: Ching-ling in Exile: Moscow, Berlin, Shanghai&lt;/p&gt;&lt;p&gt;&lt;/p&gt;&lt;/div&gt;</v>
      </c>
    </row>
    <row r="149" spans="1:3">
      <c r="A149" s="4" t="s">
        <v>81</v>
      </c>
      <c r="C149" s="3" t="str">
        <f t="shared" si="2"/>
        <v>&lt;div class='layout'&gt;&lt;p&gt;Vincent Sheean on T.V.: Sheean, Vincent, pp. 194–5&lt;/p&gt;&lt;p&gt;&lt;/p&gt;&lt;/div&gt;</v>
      </c>
    </row>
    <row r="150" spans="1:3" ht="34.799999999999997">
      <c r="A150" s="4" t="s">
        <v>239</v>
      </c>
      <c r="C150" s="3" t="str">
        <f t="shared" si="2"/>
        <v>&lt;div class='layout'&gt;&lt;p&gt;Sheean on Ching-ling: Sheean, Vincent, p. 208; ‘the contrast between her': Snow, Edgar, p. 82&lt;/p&gt;&lt;p&gt;&lt;/p&gt;&lt;/div&gt;</v>
      </c>
    </row>
    <row r="151" spans="1:3" ht="87">
      <c r="A151" s="4" t="s">
        <v>82</v>
      </c>
      <c r="C151" s="3" t="str">
        <f t="shared" si="2"/>
        <v>&lt;div class='layout'&gt;&lt;p&gt;Borodin was also staying: Zhang Ke, in Shanghai Managing Committee of the Historical Objects of Sun Yat-sen and Soong Ching-ling, and Shanghai Association for Soong Ching-ling Studies eds. 2013b, p. 629; Epstein, Israel, pp. 206, 219&lt;/p&gt;&lt;p&gt;&lt;/p&gt;&lt;/div&gt;</v>
      </c>
    </row>
    <row r="152" spans="1:3" ht="87">
      <c r="A152" s="4" t="s">
        <v>83</v>
      </c>
      <c r="C152" s="3" t="str">
        <f t="shared" si="2"/>
        <v>&lt;div class='layout'&gt;&lt;p&gt;Ching-ling loved Moscow: Epstein, Israel, pp. 213, 224; Soong Ching-ling (Soong Ching-ling Foundation and China Welfare eds.), vol. 1, p. 60; Snow, Edgar, p. 94; New York Times report: New York Times, 29 September 1927; Epstein, Israel, p. 207; Sheean, Vincent, p. 289&lt;/p&gt;&lt;p&gt;&lt;/p&gt;&lt;/div&gt;</v>
      </c>
    </row>
    <row r="153" spans="1:3" ht="104.4">
      <c r="A153" s="4" t="s">
        <v>240</v>
      </c>
      <c r="C153" s="3" t="str">
        <f t="shared" si="2"/>
        <v>&lt;div class='layout'&gt;&lt;p&gt;‘opportunism on both sides': Snow, Edgar, p. 85; meeting with Stalin: Zhang Ke, in Epstein, Israel, p. 218–19; The Comintern: Shanghai Managing Committee of the Historical Objects of Sun Yat-sen and Soong Ching-ling ed., vol. 1, p. 145; vol. 2, pp. 90–3; Mrs Soong wrote: Li Yun, in Soong Ching-ling Memorial Committee ed., p. 206&lt;/p&gt;&lt;p&gt;&lt;/p&gt;&lt;/div&gt;</v>
      </c>
    </row>
    <row r="154" spans="1:3" ht="174">
      <c r="A154" s="4" t="s">
        <v>241</v>
      </c>
      <c r="C154" s="3" t="str">
        <f t="shared" si="2"/>
        <v>&lt;div class='layout'&gt;&lt;p&gt;Mao and others on Deng Yan-da: Mei Ri-xin and Deng Yan-chao eds., pp. 1, 245, 248; Chinese Peasants' and Workers' Democratic Party Central Committee ed., p. 129; Deng Yan-da (Mei Ri-xin and Deng Yan-chao eds.), p. 127; Yan-da meeting with Stalin: Zhang Ke, in Epstein, Israel, p. 217–18; Yan-da views: Deng Yan-da (Mei Ri-xin and Deng Yan-chao eds.), pp. 261–2, 462; Yan-da wrote Ching-ling: Shanghai Managing Committee of the Historical Objects of Sun Yat-sen and Soong Ching-ling ed., vol. 1, pp. 140–5; vol. 2, pp. 87–9&lt;/p&gt;&lt;p&gt;&lt;/p&gt;&lt;/div&gt;</v>
      </c>
    </row>
    <row r="155" spans="1:3" ht="174">
      <c r="A155" s="4" t="s">
        <v>84</v>
      </c>
      <c r="C155" s="3" t="str">
        <f t="shared" si="2"/>
        <v>&lt;div class='layout'&gt;&lt;p&gt;Ching-ling in Berlin: Soong Ching-ling (Soong Ching-ling Foundation and China Welfare eds.), vol. 1, pp. 58–9; Epstein, Israel, pp. 219ff; Shanghai Managing Committee of the Historical Objects of Sun Yat-sen and Soong Ching-ling ed., vol. 1, pp. 136–50; Liu Jia-quan, pp. 56–62; Mei Ri-xin and Deng Yan-chao eds., pp. 301–4; letter to mother: Shanghai postmark 4 July 1928 (owner of this letter wishes to remain anonymous); never felt so at home: Soong Ching-ling (Soong Ching-ling Foundation and China Welfare eds.), vol. 1, p. 58&lt;/p&gt;&lt;p&gt;&lt;/p&gt;&lt;/div&gt;</v>
      </c>
    </row>
    <row r="156" spans="1:3" ht="34.799999999999997">
      <c r="A156" s="4" t="s">
        <v>85</v>
      </c>
      <c r="C156" s="3" t="str">
        <f t="shared" si="2"/>
        <v>&lt;div class='layout'&gt;&lt;p&gt;Yan-da about wife: Deng Yan-da (Mei Ri-xin and Deng Yan-chao eds.), pp. 452, 459, 472, 480&lt;/p&gt;&lt;p&gt;&lt;/p&gt;&lt;/div&gt;</v>
      </c>
    </row>
    <row r="157" spans="1:3" ht="121.8">
      <c r="A157" s="4" t="s">
        <v>242</v>
      </c>
      <c r="C157" s="3" t="str">
        <f t="shared" si="2"/>
        <v>&lt;div class='layout'&gt;&lt;p&gt;Yan-da goodbye to Ching-ling: Mei Ri-xin and Deng Yan-chao eds., p. 6; ‘Falling in Love Again': Soong Ching-ling (Soong Ching-ling Foundation et al. eds.), pp. 269–74; ‘Mother-in-law of the Country': North China Herald, 28 July 1931; French Concession police recorded: Shanghai Managing Committee of the Historical Objects of Sun Yat-sen and Soong Ching-ling ed., vol. 4, pp. 198–200&lt;/p&gt;&lt;p&gt;&lt;/p&gt;&lt;/div&gt;</v>
      </c>
    </row>
    <row r="158" spans="1:3" ht="156.6">
      <c r="A158" s="4" t="s">
        <v>86</v>
      </c>
      <c r="C158" s="3" t="str">
        <f t="shared" si="2"/>
        <v>&lt;div class='layout'&gt;&lt;p&gt;piece attacking Chiang: Hahn, Emily 2014b, pp. 138–9; Shanghai Managing Committee of the Historical Objects of Sun Yat-sen and Soong Ching-ling ed., vol. 2, pp. 112–14; vol. 3, p. 199; she wished to be in a country: Soong Ching-ling (Soong Ching-ling Foundation and China Welfare eds.), vol. 1, p. 66; with German Communists: Liu Jia-quan, pp. 146–8, 156–9, 179; Soong Ching-ling (Soong Ching-ling Foundation and China Welfare eds.), vol. 1, pp. 68–9&lt;/p&gt;&lt;p&gt;&lt;/p&gt;&lt;/div&gt;</v>
      </c>
    </row>
    <row r="159" spans="1:3" ht="34.799999999999997">
      <c r="A159" s="4" t="s">
        <v>87</v>
      </c>
      <c r="C159" s="3" t="str">
        <f t="shared" si="2"/>
        <v>&lt;div class='layout'&gt;&lt;p&gt;telegrams from her family: Soong Ching-ling (Shanghai Soong Ching-ling Memorial Residence ed.), pp. 27–8&lt;/p&gt;&lt;p&gt;&lt;/p&gt;&lt;/div&gt;</v>
      </c>
    </row>
    <row r="160" spans="1:3" ht="87">
      <c r="A160" s="4" t="s">
        <v>243</v>
      </c>
      <c r="C160" s="3" t="str">
        <f t="shared" si="2"/>
        <v>&lt;div class='layout'&gt;&lt;p&gt;‘I've come to mediate': Epstein, Israel, p. 258; Chinese Peasants' and Workers' Democratic Party Central Committee ed., p. 143; ‘downfall': Soong Ching-ling 1992, pp. 83–6; New York Times, Magazine, 10 January 1932; Ching-ling joins the Comintern: Yang Kui-song 2003&lt;/p&gt;&lt;p&gt;&lt;/p&gt;&lt;/div&gt;</v>
      </c>
    </row>
    <row r="161" spans="1:3" ht="52.2">
      <c r="A161" s="4" t="s">
        <v>244</v>
      </c>
      <c r="C161" s="3" t="str">
        <f t="shared" si="2"/>
        <v>&lt;div class='layout'&gt;&lt;p&gt;I was smitten hard: Isaacs, Harold, p. 64; Liao Cheng-zhi: article in People's Daily, 29 May 1982; Yang Kui-song 2003&lt;/p&gt;&lt;p&gt;&lt;/p&gt;&lt;/div&gt;</v>
      </c>
    </row>
    <row r="162" spans="1:3" ht="121.8">
      <c r="A162" s="4" t="s">
        <v>245</v>
      </c>
      <c r="C162" s="3" t="str">
        <f t="shared" si="2"/>
        <v>&lt;div class='layout'&gt;&lt;p&gt;‘car accident' vetoed: Shen Zui, pp. 60–4; Ye Bang-zong, pp. 32–4; sweet memories: interview with a member of May-ling's household in New York, 21 October 2015; ‘stood alone': Chiang Ching-kuo (Zhou Mei-hua and Xiao Li-ju eds.), vol. 2, p. 163; May-ling also sympathised: Chiang Ching-kuo (Zhou Mei-hua and Xiao Li-ju eds.), vol. 2, p. 564&lt;/p&gt;&lt;p&gt;&lt;/p&gt;&lt;/div&gt;</v>
      </c>
    </row>
    <row r="163" spans="1:3">
      <c r="A163" s="4" t="s">
        <v>88</v>
      </c>
      <c r="C163" s="3" t="str">
        <f t="shared" si="2"/>
        <v>&lt;div class='layout'&gt;&lt;p&gt;Chapter 12: The Husband and Wife Team&lt;/p&gt;&lt;p&gt;&lt;/p&gt;&lt;/div&gt;</v>
      </c>
    </row>
    <row r="164" spans="1:3" ht="69.599999999999994">
      <c r="A164" s="4" t="s">
        <v>246</v>
      </c>
      <c r="C164" s="3" t="str">
        <f t="shared" si="2"/>
        <v>&lt;div class='layout'&gt;&lt;p&gt;‘considerably more tolerant': Yi Zhu-xian, pp. 349, 353; Ching-ling helped push Hu: Soong Ching-ling (Shang Ming-xuan et al. eds.), vol. 1, pp. 270–4; Yi Zhu-xian, pp. 348–55&lt;/p&gt;&lt;p&gt;&lt;/p&gt;&lt;/div&gt;</v>
      </c>
    </row>
    <row r="165" spans="1:3" ht="121.8">
      <c r="A165" s="4" t="s">
        <v>247</v>
      </c>
      <c r="C165" s="3" t="str">
        <f t="shared" si="2"/>
        <v>&lt;div class='layout'&gt;&lt;p&gt;‘May-ling Palace': http://baike.baidu.com/view/64757.htm?fromtitle=宋美龄别墅andfromid=5176397andtype=syn#reference-[5]-64757–wrap; https://baike.baidu.com/pic/美龄宫/1173649/0/29381f30e924b899e3e980d968061d950b7bf67e?fr=lemmaandct=single#aid=0andpic=a50f4bfbfbedab648ab61d20f136afc378311e0&lt;/p&gt;&lt;p&gt;&lt;/p&gt;&lt;/div&gt;</v>
      </c>
    </row>
    <row r="166" spans="1:3" ht="87">
      <c r="A166" s="4" t="s">
        <v>248</v>
      </c>
      <c r="C166" s="3" t="str">
        <f t="shared" si="2"/>
        <v>&lt;div class='layout'&gt;&lt;p&gt;‘nothing but a little village': Hahn, Emily 2014b, p. 126; Chiang would miss her: Lu Fang-shang ed., pp. 22, 71–3, 80; in vacated Red areas: Soong May-ling (Madame Chiang Kai-shek) 1934, p. 134; Soong May-ling (Madame Chiang Kai-shek) 1935a, pp. 75–8&lt;/p&gt;&lt;p&gt;&lt;/p&gt;&lt;/div&gt;</v>
      </c>
    </row>
    <row r="167" spans="1:3" ht="52.2">
      <c r="A167" s="4" t="s">
        <v>249</v>
      </c>
      <c r="C167" s="3" t="str">
        <f t="shared" si="2"/>
        <v>&lt;div class='layout'&gt;&lt;p&gt;Ei-ling stepped into mother's role: Soong May-ling (Madame Chiang Kai-shek) 1955, pp. 11, 29; ‘I was driven back': Soong May-ling (Madame Chiang Kai-shek) 1934, pp. 133–4&lt;/p&gt;&lt;p&gt;&lt;/p&gt;&lt;/div&gt;</v>
      </c>
    </row>
    <row r="168" spans="1:3" ht="104.4">
      <c r="A168" s="4" t="s">
        <v>250</v>
      </c>
      <c r="C168" s="3" t="str">
        <f t="shared" si="2"/>
        <v>&lt;div class='layout'&gt;&lt;p&gt;launching New Life Movement: Soong May-ling (Madame Chiang Kai-shek) 1935b, pp. 355–7; ‘old, dirty, and repulsive': Leonard, Royal, p. 110; ‘more disturbed': Soong May-ling (Madame Chiang Kai-shek) 1934, p. 131; ‘if a man were sloppy': Soong May-ling (Madame Chiang Kai-shek) 1935b, p. 357&lt;/p&gt;&lt;p&gt;&lt;/p&gt;&lt;/div&gt;</v>
      </c>
    </row>
    <row r="169" spans="1:3" ht="87">
      <c r="A169" s="4" t="s">
        <v>251</v>
      </c>
      <c r="C169" s="3" t="str">
        <f t="shared" si="2"/>
        <v>&lt;div class='layout'&gt;&lt;p&gt;Hu Shih wrote: Duli Pinglun, Issue 95, 8 April 1934; Hu Shih, vol. 11, pp. 419–22; May-ling reaction: Soong May-ling (Madame Chiang Kai-shek) 1935b, p. 355; 1934, p. 134; Soong May-ling and Chiang Kai-shek, p. 44; ‘like the president': Gunther, John, p. 234&lt;/p&gt;&lt;p&gt;&lt;/p&gt;&lt;/div&gt;</v>
      </c>
    </row>
    <row r="170" spans="1:3" ht="69.599999999999994">
      <c r="A170" s="4" t="s">
        <v>252</v>
      </c>
      <c r="C170" s="3" t="str">
        <f t="shared" si="2"/>
        <v>&lt;div class='layout'&gt;&lt;p&gt;Christmas Day 1934: Soong May-ling (Madame Chiang Kai-shek) 1935a, p. 75; cf. Soong May-ling (Madame Chiang Kai-shek) 1934, p. 131; New Year's Eve: Soong May-ling (Madame Chiang Kai-shek) 1935a, p. 76&lt;/p&gt;&lt;p&gt;&lt;/p&gt;&lt;/div&gt;</v>
      </c>
    </row>
    <row r="171" spans="1:3" ht="34.799999999999997">
      <c r="A171" s="4" t="s">
        <v>253</v>
      </c>
      <c r="C171" s="3" t="str">
        <f t="shared" si="2"/>
        <v>&lt;div class='layout'&gt;&lt;p&gt;Chapter 13: Getting Chiang's Son Back from Stalin's Clutches&lt;/p&gt;&lt;p&gt;&lt;/p&gt;&lt;/div&gt;</v>
      </c>
    </row>
    <row r="172" spans="1:3" ht="34.799999999999997">
      <c r="A172" s="4" t="s">
        <v>89</v>
      </c>
      <c r="C172" s="3" t="str">
        <f t="shared" si="2"/>
        <v>&lt;div class='layout'&gt;&lt;p&gt;talk to Chiang about Ching-kuo release: Chiang Kai-shek (Chin Hsiao-i ed.), vol. 2, pp. 334–5&lt;/p&gt;&lt;p&gt;&lt;/p&gt;&lt;/div&gt;</v>
      </c>
    </row>
    <row r="173" spans="1:3" ht="34.799999999999997">
      <c r="A173" s="4" t="s">
        <v>90</v>
      </c>
      <c r="C173" s="3" t="str">
        <f t="shared" si="2"/>
        <v>&lt;div class='layout'&gt;&lt;p&gt;Ching-kuo in Russia: Chiang Ching-kuo, in Cline, Ray S.; Qi Gao-ru, pp. 7–9, 13–14, 365&lt;/p&gt;&lt;p&gt;&lt;/p&gt;&lt;/div&gt;</v>
      </c>
    </row>
    <row r="174" spans="1:3" ht="52.2">
      <c r="A174" s="4" t="s">
        <v>254</v>
      </c>
      <c r="C174" s="3" t="str">
        <f t="shared" si="2"/>
        <v>&lt;div class='layout'&gt;&lt;p&gt;Shao Li-tzu: People's University ed., pp. 81–3; CPPCC 1985, p. 241; Chang, Jung and Halliday, Jon, Index: Shao Li-tzu&lt;/p&gt;&lt;p&gt;&lt;/p&gt;&lt;/div&gt;</v>
      </c>
    </row>
    <row r="175" spans="1:3" ht="52.2">
      <c r="A175" s="4" t="s">
        <v>91</v>
      </c>
      <c r="C175" s="3" t="str">
        <f t="shared" si="2"/>
        <v>&lt;div class='layout'&gt;&lt;p&gt;Ei-ling suggestion and Chiang decision: 1 November 1930, Chiang Kai-shek Diaries, Hoover Institution Archives; Chiang Kai-shek (Chin Hsiao-i ed.), vol. 2, p. 335&lt;/p&gt;&lt;p&gt;&lt;/p&gt;&lt;/div&gt;</v>
      </c>
    </row>
    <row r="176" spans="1:3" ht="87">
      <c r="A176" s="4" t="s">
        <v>255</v>
      </c>
      <c r="C176" s="3" t="str">
        <f t="shared" si="2"/>
        <v>&lt;div class='layout'&gt;&lt;p&gt;Ching-ling to Chiang about hostage swap: 16 December 1931, Chiang Kai-shek Diaries, Hoover Institution Archives; Shanghai Managing Committee of the Historical Objects of Sun Yat-sen and Soong Ching-ling ed., vol. 2, p. 56; ‘In the past few days': Yang Tian-shi 2002, pp. 373–4&lt;/p&gt;&lt;p&gt;&lt;/p&gt;&lt;/div&gt;</v>
      </c>
    </row>
    <row r="177" spans="1:3" ht="104.4">
      <c r="A177" s="4" t="s">
        <v>256</v>
      </c>
      <c r="C177" s="3" t="str">
        <f t="shared" si="2"/>
        <v>&lt;div class='layout'&gt;&lt;p&gt;‘showing signs of willingness': Chiang Kai-shek (Chin Hsiao-i ed.), vol. 3, p. 994; Chiang requests for Ching-kuo release: Yang Tian-shi 2002, p. 375; Chiang Ching-kuo, in Cline, Ray S., pp. 178–9; Qi Gao-ru, pp. 365–70; many documents in Russian Foreign Ministry files: interview with Jon Halliday&lt;/p&gt;&lt;p&gt;&lt;/p&gt;&lt;/div&gt;</v>
      </c>
    </row>
    <row r="178" spans="1:3" ht="69.599999999999994">
      <c r="A178" s="4" t="s">
        <v>92</v>
      </c>
      <c r="C178" s="3" t="str">
        <f t="shared" si="2"/>
        <v>&lt;div class='layout'&gt;&lt;p&gt;Kung–Bogomolov: DVP, vol. 18 (1935), p. 438; Chiang saw Bogomolov: DVP, vol. 18 (1935), pp. 537–9; Chen Li-fu, interview, 15 February 1993; AVPRF, 0100/20/184/11, pp. 11, 14–15&lt;/p&gt;&lt;p&gt;&lt;/p&gt;&lt;/div&gt;</v>
      </c>
    </row>
    <row r="179" spans="1:3">
      <c r="A179" s="4" t="s">
        <v>257</v>
      </c>
      <c r="C179" s="3" t="str">
        <f t="shared" si="2"/>
        <v>&lt;div class='layout'&gt;&lt;p&gt;Chapter 14: ‘A woman protects a man'&lt;/p&gt;&lt;p&gt;&lt;/p&gt;&lt;/div&gt;</v>
      </c>
    </row>
    <row r="180" spans="1:3" ht="52.2">
      <c r="A180" s="4" t="s">
        <v>93</v>
      </c>
      <c r="C180" s="3" t="str">
        <f t="shared" si="2"/>
        <v>&lt;div class='layout'&gt;&lt;p&gt;May-ling spoke to Chinese ambassador: Jiang Ting-fu, p. 203; descriptions of Young Marshal: Leonard, Royal, p. 21; Tuchman, Barbara W., p. 196&lt;/p&gt;&lt;p&gt;&lt;/p&gt;&lt;/div&gt;</v>
      </c>
    </row>
    <row r="181" spans="1:3" ht="34.799999999999997">
      <c r="A181" s="4" t="s">
        <v>94</v>
      </c>
      <c r="C181" s="3" t="str">
        <f t="shared" si="2"/>
        <v>&lt;div class='layout'&gt;&lt;p&gt;Young Marshal–CCP–Moscow: Chang, Jung and Halliday, Jon, Chapters 16 and 17&lt;/p&gt;&lt;p&gt;&lt;/p&gt;&lt;/div&gt;</v>
      </c>
    </row>
    <row r="182" spans="1:3" ht="52.2">
      <c r="A182" s="4" t="s">
        <v>95</v>
      </c>
      <c r="C182" s="3" t="str">
        <f t="shared" si="2"/>
        <v>&lt;div class='layout'&gt;&lt;p&gt;May-ling after Chiang detained: Soong May-ling and Chiang Kai-shek; Selle, Earl Albert, pp. 260, 306, 319–20; Li Jin-zhou ed., pp. 72–3; Yang Tian-shi 1998, p. 466&lt;/p&gt;&lt;p&gt;&lt;/p&gt;&lt;/div&gt;</v>
      </c>
    </row>
    <row r="183" spans="1:3" ht="34.799999999999997">
      <c r="A183" s="4" t="s">
        <v>258</v>
      </c>
      <c r="C183" s="3" t="str">
        <f t="shared" si="2"/>
        <v>&lt;div class='layout'&gt;&lt;p&gt;‘I would have done': Snow, Edgar, p. 94; H.H. message to Stalin: Li Jin-zhou ed., p. 83&lt;/p&gt;&lt;p&gt;&lt;/p&gt;&lt;/div&gt;</v>
      </c>
    </row>
    <row r="184" spans="1:3" ht="34.799999999999997">
      <c r="A184" s="4" t="s">
        <v>259</v>
      </c>
      <c r="C184" s="3" t="str">
        <f t="shared" si="2"/>
        <v>&lt;div class='layout'&gt;&lt;p&gt;‘with good motives': Soong May-ling and Chiang Kai-shek, pp. 44–5&lt;/p&gt;&lt;p&gt;&lt;/p&gt;&lt;/div&gt;</v>
      </c>
    </row>
    <row r="185" spans="1:3" ht="87">
      <c r="A185" s="4" t="s">
        <v>96</v>
      </c>
      <c r="C185" s="3" t="str">
        <f t="shared" si="2"/>
        <v>&lt;div class='layout'&gt;&lt;p&gt;May-ling to Xian: Soong May-ling and Chiang Kai-shek, pp. 51–3; Chiang–May-ling: Soong May-ling (Madame Chiang Kai-shek) 1955, pp. 13–14, 23; Soong May-ling and Chiang Kai-shek, pp. 54–5; Young Marshal to May-ling: Soong May-ling and Chiang Kai-shek, pp. 56–7&lt;/p&gt;&lt;p&gt;&lt;/p&gt;&lt;/div&gt;</v>
      </c>
    </row>
    <row r="186" spans="1:3" ht="69.599999999999994">
      <c r="A186" s="4" t="s">
        <v>97</v>
      </c>
      <c r="C186" s="3" t="str">
        <f t="shared" si="2"/>
        <v>&lt;div class='layout'&gt;&lt;p&gt;Zhou En-lai in Xian: Chang, Jung and Halliday, Jon, Chapter 17; message from Moscow to free Ching-kuo: Wang Bing-nan was by the door and heard this, unpublished memoir, cited in Han Su-yin, p. 154&lt;/p&gt;&lt;p&gt;&lt;/p&gt;&lt;/div&gt;</v>
      </c>
    </row>
    <row r="187" spans="1:3" ht="34.799999999999997">
      <c r="A187" s="4" t="s">
        <v>260</v>
      </c>
      <c r="C187" s="3" t="str">
        <f t="shared" si="2"/>
        <v>&lt;div class='layout'&gt;&lt;p&gt;Leonard recorded: Leonard, Royal, pp. 107–8; ‘I wanted to': Hahn, Emily 2014b, p. 207&lt;/p&gt;&lt;p&gt;&lt;/p&gt;&lt;/div&gt;</v>
      </c>
    </row>
    <row r="188" spans="1:3" ht="52.2">
      <c r="A188" s="4" t="s">
        <v>261</v>
      </c>
      <c r="C188" s="3" t="str">
        <f t="shared" si="2"/>
        <v>&lt;div class='layout'&gt;&lt;p&gt;Leonard saw that: Leonard, Royal, p. 108; May-ling's account: Soong May-ling and Chiang Kai-shek; Chen Li-fu and Dai Ji-tao: Yang Tian-shi 1998, pp. 464–9&lt;/p&gt;&lt;p&gt;&lt;/p&gt;&lt;/div&gt;</v>
      </c>
    </row>
    <row r="189" spans="1:3" ht="34.799999999999997">
      <c r="A189" s="4" t="s">
        <v>98</v>
      </c>
      <c r="C189" s="3" t="str">
        <f t="shared" si="2"/>
        <v>&lt;div class='layout'&gt;&lt;p&gt;to kill Chiang: Central Archives ed., p. 213; Zhang Xue-liang (Zhang You-kun and Qian Jin, eds.), p. 1124&lt;/p&gt;&lt;p&gt;&lt;/p&gt;&lt;/div&gt;</v>
      </c>
    </row>
    <row r="190" spans="1:3">
      <c r="A190" s="4" t="s">
        <v>99</v>
      </c>
      <c r="C190" s="3" t="str">
        <f t="shared" si="2"/>
        <v>&lt;div class='layout'&gt;&lt;p&gt;Chapter 15: Bravery and Corruption&lt;/p&gt;&lt;p&gt;&lt;/p&gt;&lt;/div&gt;</v>
      </c>
    </row>
    <row r="191" spans="1:3" ht="69.599999999999994">
      <c r="A191" s="4" t="s">
        <v>262</v>
      </c>
      <c r="C191" s="3" t="str">
        <f t="shared" si="2"/>
        <v>&lt;div class='layout'&gt;&lt;p&gt;Ei-ling setting up hospital: Hahn, Emily 2014b, pp. 218–19; ‘extraordinarily excited': Soong Ching-ling (Shang Ming-xuan et al. eds.), vol. 1, p. 345; May-ling visiting hospital: Selle, Earl Albert, pp. 339–40&lt;/p&gt;&lt;p&gt;&lt;/p&gt;&lt;/div&gt;</v>
      </c>
    </row>
    <row r="192" spans="1:3">
      <c r="A192" s="4" t="s">
        <v>100</v>
      </c>
      <c r="C192" s="3" t="str">
        <f t="shared" si="2"/>
        <v>&lt;div class='layout'&gt;&lt;p&gt;Central University: Luo Jia-lun, pp. 141–53&lt;/p&gt;&lt;p&gt;&lt;/p&gt;&lt;/div&gt;</v>
      </c>
    </row>
    <row r="193" spans="1:3" ht="69.599999999999994">
      <c r="A193" s="4" t="s">
        <v>263</v>
      </c>
      <c r="C193" s="3" t="str">
        <f t="shared" si="2"/>
        <v>&lt;div class='layout'&gt;&lt;p&gt;‘avenge shame': Chiang Kai-shek Diaries, Hoover Institution Archives; ‘What a life!': 26 September and 12 December 1938, Papers of Emma DeLong Mills, MSS.2, Wellesley College Archives&lt;/p&gt;&lt;p&gt;&lt;/p&gt;&lt;/div&gt;</v>
      </c>
    </row>
    <row r="194" spans="1:3" ht="52.2">
      <c r="A194" s="4" t="s">
        <v>264</v>
      </c>
      <c r="C194" s="3" t="str">
        <f t="shared" ref="C194:C257" si="3">CONCATENATE("&lt;div class='layout'&gt;&lt;p&gt;",A194,"&lt;/p&gt;","&lt;p&gt;",B194,"&lt;/p&gt;","&lt;/div&gt;")</f>
        <v>&lt;div class='layout'&gt;&lt;p&gt;‘I am covered': Pakula, Hannah, p. 356; ‘raging infernos': 10 May 1939, Papers of Emma DeLong Mills, MSS.2, Wellesley College Archives&lt;/p&gt;&lt;p&gt;&lt;/p&gt;&lt;/div&gt;</v>
      </c>
    </row>
    <row r="195" spans="1:3" ht="121.8">
      <c r="A195" s="4" t="s">
        <v>265</v>
      </c>
      <c r="C195" s="3" t="str">
        <f t="shared" si="3"/>
        <v>&lt;div class='layout'&gt;&lt;p&gt;French-grammar book: Soong May-ling (Madame Chiang Kai-shek) 1955, p. 16; May-ling about ‘our people': 10 May, 1 November and 10 November 1939, 10 April 1941, Papers of Emma DeLong Mills, MSS.2, Wellesley College Archives; Soong May-ling (Madame Chiang Kai-shek) 1955, p. 17; ‘we shall fight on': 10 November 1939, Papers of Emma DeLong Mills, MSS.2, Wellesley College Archives&lt;/p&gt;&lt;p&gt;&lt;/p&gt;&lt;/div&gt;</v>
      </c>
    </row>
    <row r="196" spans="1:3">
      <c r="A196" s="4" t="s">
        <v>101</v>
      </c>
      <c r="C196" s="3" t="str">
        <f t="shared" si="3"/>
        <v>&lt;div class='layout'&gt;&lt;p&gt;Fort Bliss: Chennault, Anna, pp. 93–4&lt;/p&gt;&lt;p&gt;&lt;/p&gt;&lt;/div&gt;</v>
      </c>
    </row>
    <row r="197" spans="1:3" ht="69.599999999999994">
      <c r="A197" s="4" t="s">
        <v>266</v>
      </c>
      <c r="C197" s="3" t="str">
        <f t="shared" si="3"/>
        <v>&lt;div class='layout'&gt;&lt;p&gt;‘My God, that face': Alsop, Joseph W., p.174; Chennault on May-ling: Chennault, Claire Lee, pp. 35, 54–5; Sebie Biggs Smith: Smith, Sebie Biggs, Columbia University Archives, OHRO/PRCQ, No. 1392&lt;/p&gt;&lt;p&gt;&lt;/p&gt;&lt;/div&gt;</v>
      </c>
    </row>
    <row r="198" spans="1:3" ht="34.799999999999997">
      <c r="A198" s="4" t="s">
        <v>267</v>
      </c>
      <c r="C198" s="3" t="str">
        <f t="shared" si="3"/>
        <v>&lt;div class='layout'&gt;&lt;p&gt;a ‘squeeze': Pakula, Hannah, p. 290; May-ling – Chiang cables: Chiang Kai-shek: Family Correspondence, p. 28&lt;/p&gt;&lt;p&gt;&lt;/p&gt;&lt;/div&gt;</v>
      </c>
    </row>
    <row r="199" spans="1:3" ht="34.799999999999997">
      <c r="A199" s="4" t="s">
        <v>102</v>
      </c>
      <c r="C199" s="3" t="str">
        <f t="shared" si="3"/>
        <v>&lt;div class='layout'&gt;&lt;p&gt;Her argument: Wu Kuo-Cheng, pp. 14–15, 183; Shou Chong-yi ed., pp. 79, 85&lt;/p&gt;&lt;p&gt;&lt;/p&gt;&lt;/div&gt;</v>
      </c>
    </row>
    <row r="200" spans="1:3" ht="52.2">
      <c r="A200" s="4" t="s">
        <v>268</v>
      </c>
      <c r="C200" s="3" t="str">
        <f t="shared" si="3"/>
        <v>&lt;div class='layout'&gt;&lt;p&gt;Kung's corrupt practice: K'ung Hsiang-hsi, pp. 128, 142–3; Shou Chong-yi ed., passim; I Fu-en, p. 130; Gunther, John, pp. 230–2&lt;/p&gt;&lt;p&gt;&lt;/p&gt;&lt;/div&gt;</v>
      </c>
    </row>
    <row r="201" spans="1:3" ht="34.799999999999997">
      <c r="A201" s="4" t="s">
        <v>269</v>
      </c>
      <c r="C201" s="3" t="str">
        <f t="shared" si="3"/>
        <v>&lt;div class='layout'&gt;&lt;p&gt;‘Mme Kung's voice shook': Hahn, Emily 2014b, p. 93; $100 million: Shou Chong-yi ed., pp. 79–80, 84–5&lt;/p&gt;&lt;p&gt;&lt;/p&gt;&lt;/div&gt;</v>
      </c>
    </row>
    <row r="202" spans="1:3">
      <c r="A202" s="4" t="s">
        <v>270</v>
      </c>
      <c r="C202" s="3" t="str">
        <f t="shared" si="3"/>
        <v>&lt;div class='layout'&gt;&lt;p&gt;Kung felt, he revealed: K'ung Hsiang-hsi, pp. 128–34&lt;/p&gt;&lt;p&gt;&lt;/p&gt;&lt;/div&gt;</v>
      </c>
    </row>
    <row r="203" spans="1:3">
      <c r="A203" s="4" t="s">
        <v>103</v>
      </c>
      <c r="C203" s="3" t="str">
        <f t="shared" si="3"/>
        <v>&lt;div class='layout'&gt;&lt;p&gt;Donald–May-ling: Selle, Earl Albert, pp. 348–9&lt;/p&gt;&lt;p&gt;&lt;/p&gt;&lt;/div&gt;</v>
      </c>
    </row>
    <row r="204" spans="1:3" ht="87">
      <c r="A204" s="4" t="s">
        <v>271</v>
      </c>
      <c r="C204" s="3" t="str">
        <f t="shared" si="3"/>
        <v>&lt;div class='layout'&gt;&lt;p&gt;Jeanette's relationship with May-ling: interviews with Dr Jan Kung-ming, Jeanette's physician, who also treated May-ling; Chen Li-wen ed., 2014, pp. 111, 197–202; Shong Wen, pp. 150–8; Shou Chong-yi ed., pp. 28–9, 86–90, 104–5, 260&lt;/p&gt;&lt;p&gt;&lt;/p&gt;&lt;/div&gt;</v>
      </c>
    </row>
    <row r="205" spans="1:3" ht="139.19999999999999">
      <c r="A205" s="4" t="s">
        <v>272</v>
      </c>
      <c r="C205" s="3" t="str">
        <f t="shared" si="3"/>
        <v>&lt;div class='layout'&gt;&lt;p&gt;at a dinner party: Tuchman, Barbara W., p. 234; A favourite retort: Hahn, Emily 2014b, p. 256; Lauchlin Currie complained: Shou Chong-yi ed., p. 32; H.H. cabled: K'ung Hsiang-hsi, p. 146; Rosamonde: Shou Chong-yi ed., p. 12; Soong Ching-ling (Shanghai Soong Ching-ling Memorial Residence ed.), p. 422; Ei-ling's conviction: Soong Ching-ling (Shanghai Soong Ching-ling Memorial Residence ed.), pp. 124–5&lt;/p&gt;&lt;p&gt;&lt;/p&gt;&lt;/div&gt;</v>
      </c>
    </row>
    <row r="206" spans="1:3">
      <c r="A206" s="4" t="s">
        <v>273</v>
      </c>
      <c r="C206" s="3" t="str">
        <f t="shared" si="3"/>
        <v>&lt;div class='layout'&gt;&lt;p&gt;Chapter 16: Red Sister's Frustration&lt;/p&gt;&lt;p&gt;&lt;/p&gt;&lt;/div&gt;</v>
      </c>
    </row>
    <row r="207" spans="1:3">
      <c r="A207" s="4" t="s">
        <v>274</v>
      </c>
      <c r="C207" s="3" t="str">
        <f t="shared" si="3"/>
        <v>&lt;div class='layout'&gt;&lt;p&gt;‘It is a matter': Soong Ching-ling 1952, p. 107&lt;/p&gt;&lt;p&gt;&lt;/p&gt;&lt;/div&gt;</v>
      </c>
    </row>
    <row r="208" spans="1:3" ht="52.2">
      <c r="A208" s="4" t="s">
        <v>275</v>
      </c>
      <c r="C208" s="3" t="str">
        <f t="shared" si="3"/>
        <v>&lt;div class='layout'&gt;&lt;p&gt;Evans Carlson: Epstein, Israel, pp. 344–6; ‘With co-workers': Epstein, Israel, p. 368; Sir Stafford Cripps: Epstein, Israel, pp. 369–70&lt;/p&gt;&lt;p&gt;&lt;/p&gt;&lt;/div&gt;</v>
      </c>
    </row>
    <row r="209" spans="1:3">
      <c r="A209" s="4" t="s">
        <v>104</v>
      </c>
      <c r="C209" s="3" t="str">
        <f t="shared" si="3"/>
        <v>&lt;div class='layout'&gt;&lt;p&gt;Edgar Snow: Snow, Edgar, pp. 85–90&lt;/p&gt;&lt;p&gt;&lt;/p&gt;&lt;/div&gt;</v>
      </c>
    </row>
    <row r="210" spans="1:3">
      <c r="A210" s="4" t="s">
        <v>105</v>
      </c>
      <c r="C210" s="3" t="str">
        <f t="shared" si="3"/>
        <v>&lt;div class='layout'&gt;&lt;p&gt;dinner-dance restaurant: Hahn, Emily 2014b, pp. 273–4&lt;/p&gt;&lt;p&gt;&lt;/p&gt;&lt;/div&gt;</v>
      </c>
    </row>
    <row r="211" spans="1:3" ht="34.799999999999997">
      <c r="A211" s="4" t="s">
        <v>106</v>
      </c>
      <c r="C211" s="3" t="str">
        <f t="shared" si="3"/>
        <v>&lt;div class='layout'&gt;&lt;p&gt;Wang blamed Chiang: Wang Jing-wei (Cai De-jin and Wang Sheng eds.), pp. 248–269&lt;/p&gt;&lt;p&gt;&lt;/p&gt;&lt;/div&gt;</v>
      </c>
    </row>
    <row r="212" spans="1:3" ht="121.8">
      <c r="A212" s="4" t="s">
        <v>107</v>
      </c>
      <c r="C212" s="3" t="str">
        <f t="shared" si="3"/>
        <v>&lt;div class='layout'&gt;&lt;p&gt;three sisters in Chongqing: Soong Ching-ling (Shang Ming-xuan et al. eds.), vol. 1, pp. 405–9; May-ling to Emma, 7 and 9 May 1940, Papers of Emma DeLong Mills, MSS.2, Wellesley College Archives; Hahn, Emily 2014a, p. 170; 2014b, p. 284; to Anna Wang: Soong Ching-ling (Shang Ming-xuan et al. eds.), vol. 1, pp. 407–8; Epstein, Israel, pp. 334–5&lt;/p&gt;&lt;p&gt;&lt;/p&gt;&lt;/div&gt;</v>
      </c>
    </row>
    <row r="213" spans="1:3" ht="104.4">
      <c r="A213" s="4" t="s">
        <v>276</v>
      </c>
      <c r="C213" s="3" t="str">
        <f t="shared" si="3"/>
        <v>&lt;div class='layout'&gt;&lt;p&gt;‘stop suppressing': Soong Ching-ling (Soong Ching-ling Foundation and China Welfare eds.), vol. 1, p. 191; on Yan-da: Soong Ching-ling (Shang Ming-xuan et al. eds.), vol. 1, p. 434; Chinese Peasants' and Workers' Democratic Party Central Committee ed., p. 130; to T.V.: Wu Jing-ping and Kuo Tai-chun 2008a, p. 58&lt;/p&gt;&lt;p&gt;&lt;/p&gt;&lt;/div&gt;</v>
      </c>
    </row>
    <row r="214" spans="1:3" ht="87">
      <c r="A214" s="4" t="s">
        <v>277</v>
      </c>
      <c r="C214" s="3" t="str">
        <f t="shared" si="3"/>
        <v>&lt;div class='layout'&gt;&lt;p&gt;He cabled May-ling: Wu Jing-ping and Kuo Tai-chun 2008a, p. 58; Ei-ling persuaded Ching-ling to leave: Chiang Ching-kuo (Zhou Mei-hua and Xiao Li-ju eds.), vol. 2, pp. 162–3; Wu Jing-ping and Kuo Tai-chun 2008a, p. 58; ‘the Ta Kung Pao': Wu Jing-ping and Kuo Tai-chun 2008a, p. 58&lt;/p&gt;&lt;p&gt;&lt;/p&gt;&lt;/div&gt;</v>
      </c>
    </row>
    <row r="215" spans="1:3" ht="156.6">
      <c r="A215" s="4" t="s">
        <v>278</v>
      </c>
      <c r="C215" s="3" t="str">
        <f t="shared" si="3"/>
        <v>&lt;div class='layout'&gt;&lt;p&gt;The demonstrators shouted: Yang Tian-shi 2010, pp. 257–64; Zhou En-lai to Mao: Soong Ching-ling (Shang Ming-xuan et al. eds.), vol. 1, pp. 437–8; ‘The sisters are so kind': Wu Jing-ping and Kuo Tai-chun 2008a, p. 58; Hahn, Emily 2014a, p. 183; ‘not care about': Wu Jing-ping and Kuo Tai-chun 2008a, p. 58; Ching-ling life in Chongqing: Soong Ching-ling (Soong Ching-ling Foundation and China Welfare eds.), vol. 1, pp. 205–16; Epstein, Israel, p. 414&lt;/p&gt;&lt;p&gt;&lt;/p&gt;&lt;/div&gt;</v>
      </c>
    </row>
    <row r="216" spans="1:3" ht="69.599999999999994">
      <c r="A216" s="4" t="s">
        <v>108</v>
      </c>
      <c r="C216" s="3" t="str">
        <f t="shared" si="3"/>
        <v>&lt;div class='layout'&gt;&lt;p&gt;She told the Americans: Ambassador Gauss to the Secretary of State, 16 February 1944, FRUS, vol. VI; Stilwell sketch: Tuchman, Barbara W., pp. 94–5; Stilwell diary: Epstein, Israel, pp. 396, 424&lt;/p&gt;&lt;p&gt;&lt;/p&gt;&lt;/div&gt;</v>
      </c>
    </row>
    <row r="217" spans="1:3" ht="52.2">
      <c r="A217" s="4" t="s">
        <v>279</v>
      </c>
      <c r="C217" s="3" t="str">
        <f t="shared" si="3"/>
        <v>&lt;div class='layout'&gt;&lt;p&gt;John Melby: Melby, John F., p. 121; ‘so Fifth Avenue': Epstein, Israel, pp. 418–19; ‘No stockings': Epstein, Israel, p. 415&lt;/p&gt;&lt;p&gt;&lt;/p&gt;&lt;/div&gt;</v>
      </c>
    </row>
    <row r="218" spans="1:3" ht="69.599999999999994">
      <c r="A218" s="4" t="s">
        <v>109</v>
      </c>
      <c r="C218" s="3" t="str">
        <f t="shared" si="3"/>
        <v>&lt;div class='layout'&gt;&lt;p&gt;about her sisters to Brazil: Epstein, Israel, pp. 401, 424; Ambassador Gauss to the Secretary of State, 16 February 1944, FRUS, vol. VI; Anna Wang commented: Epstein, Israel, p. 337&lt;/p&gt;&lt;p&gt;&lt;/p&gt;&lt;/div&gt;</v>
      </c>
    </row>
    <row r="219" spans="1:3">
      <c r="A219" s="4" t="s">
        <v>280</v>
      </c>
      <c r="C219" s="3" t="str">
        <f t="shared" si="3"/>
        <v>&lt;div class='layout'&gt;&lt;p&gt;Chapter 17: Little Sister's Triumph and Misery&lt;/p&gt;&lt;p&gt;&lt;/p&gt;&lt;/div&gt;</v>
      </c>
    </row>
    <row r="220" spans="1:3" ht="87">
      <c r="A220" s="4" t="s">
        <v>281</v>
      </c>
      <c r="C220" s="3" t="str">
        <f t="shared" si="3"/>
        <v>&lt;div class='layout'&gt;&lt;p&gt;Wendell Willkie: Tuchman, Barbara W., p. 428; Soong Ching-ling (Soong Ching-ling Foundation et al. eds.), vol. 1, pp. 216–17 (Ching-ling on Willkie); ‘I visualize': 14 January 1939, Papers of Emma DeLong Mills, MSS.2, Wellesley College Archives&lt;/p&gt;&lt;p&gt;&lt;/p&gt;&lt;/div&gt;</v>
      </c>
    </row>
    <row r="221" spans="1:3" ht="52.2">
      <c r="A221" s="4" t="s">
        <v>282</v>
      </c>
      <c r="C221" s="3" t="str">
        <f t="shared" si="3"/>
        <v>&lt;div class='layout'&gt;&lt;p&gt;writing and rewriting speeches: interview with a member of May-ling's household in New York, 21 October 2015; he was worried: Chiang Kai-shek: Family Correspondence, p. 30&lt;/p&gt;&lt;p&gt;&lt;/p&gt;&lt;/div&gt;</v>
      </c>
    </row>
    <row r="222" spans="1:3" ht="156.6">
      <c r="A222" s="4" t="s">
        <v>283</v>
      </c>
      <c r="C222" s="3" t="str">
        <f t="shared" si="3"/>
        <v>&lt;div class='layout'&gt;&lt;p&gt;silk sheets change: Tuchman, Barbara W., p. 448; Chiang Ching-kuo (Zhou Mei-hua and Xiao Li-ju eds.), vol. 2, p. 648; cf. Yang Tian-shi 2008, vol. 2, p. 533; complaints about David and Jeanette: DeLong, Thomas A., p. 184; Tuchman, Barbara W., p. 449; David as her ‘secretary': Koo, V.K. Wellington, Columbia University Archives, Vol. 5, Part E, pp. 748, 806; Chiang repeated entreaties: Chiang Kai-shek: Family Correspondence, pp. 29–30; Chiang diaries, in Yang Tian-shi 2008, vol. 2, p. 519&lt;/p&gt;&lt;p&gt;&lt;/p&gt;&lt;/div&gt;</v>
      </c>
    </row>
    <row r="223" spans="1:3" ht="139.19999999999999">
      <c r="A223" s="4" t="s">
        <v>284</v>
      </c>
      <c r="C223" s="3" t="str">
        <f t="shared" si="3"/>
        <v>&lt;div class='layout'&gt;&lt;p&gt;The day May-ling returned: 5 July 1943, Chiang Kai-shek Diaries, Hoover Institution Archives; gloom marred reunion: July 1943, Chiang Kai-shek Diaries, Hoover Institution Archives; Yang Tian-shi 2008, vol. 2, pp. 533–42; On the plane to Cairo: 20 and 21 November 1943, Chiang Kai-shek Diaries, Hoover Institution Archives; ‘had a particularly thin time': 6 April 1944, Papers of Emma DeLong Mills, MSS.2, Wellesley College Archives&lt;/p&gt;&lt;p&gt;&lt;/p&gt;&lt;/div&gt;</v>
      </c>
    </row>
    <row r="224" spans="1:3" ht="34.799999999999997">
      <c r="A224" s="4" t="s">
        <v>110</v>
      </c>
      <c r="C224" s="3" t="str">
        <f t="shared" si="3"/>
        <v>&lt;div class='layout'&gt;&lt;p&gt;Sir Alan Brooke: Alanbrooke, Viscount, pp. 471, 478; Anthony Eden: Eden, Anthony, p. 424&lt;/p&gt;&lt;p&gt;&lt;/p&gt;&lt;/div&gt;</v>
      </c>
    </row>
    <row r="225" spans="1:3" ht="104.4">
      <c r="A225" s="4" t="s">
        <v>285</v>
      </c>
      <c r="C225" s="3" t="str">
        <f t="shared" si="3"/>
        <v>&lt;div class='layout'&gt;&lt;p&gt;‘This morning my wife': 26 November 1943, Chiang Kai-shek Diaries, Hoover Institution Archives; Winston Churchill: 22 November 1943, Chiang Kai-shek Diaries, Hoover Institution Archives; ‘Over my dead body': Koo, V.K. Wellington, Columbia University Archives, Vol. 5, Part E, p. 794&lt;/p&gt;&lt;p&gt;&lt;/p&gt;&lt;/div&gt;</v>
      </c>
    </row>
    <row r="226" spans="1:3" ht="52.2">
      <c r="A226" s="4" t="s">
        <v>286</v>
      </c>
      <c r="C226" s="3" t="str">
        <f t="shared" si="3"/>
        <v>&lt;div class='layout'&gt;&lt;p&gt;‘What joy': 31 December 1943, Chiang Kai-shek Diaries, Hoover Institution Archives; Dr Moran: Moran, Lord, p. 151&lt;/p&gt;&lt;p&gt;&lt;/p&gt;&lt;/div&gt;</v>
      </c>
    </row>
    <row r="227" spans="1:3" ht="69.599999999999994">
      <c r="A227" s="4" t="s">
        <v>287</v>
      </c>
      <c r="C227" s="3" t="str">
        <f t="shared" si="3"/>
        <v>&lt;div class='layout'&gt;&lt;p&gt;‘The Chinese soldier': Tuchman, Barbara W., p. 246; Roosevelt wrote Chiang: Tuchman, Barbara W., pp. 584–5, 600; besieged by nightmares: Yang Tian-shi 2008, vol. 2, p. 536&lt;/p&gt;&lt;p&gt;&lt;/p&gt;&lt;/div&gt;</v>
      </c>
    </row>
    <row r="228" spans="1:3" ht="104.4">
      <c r="A228" s="4" t="s">
        <v>288</v>
      </c>
      <c r="C228" s="3" t="str">
        <f t="shared" si="3"/>
        <v>&lt;div class='layout'&gt;&lt;p&gt;‘an attempt to get away': Lattimore, Owen, p. 186; approached member of mission: Lattimore, Owen, p. 186; told her husband tearfully: Yang Tian-shi 2008, vol. 2, p. 536; farewell party: Yang Tian-shi 2008, vol. 2, pp. 526–9; Truman believed: Miller, Merle, p. 310; ‘her priceless sable': Pakula, Hannah, p. 504&lt;/p&gt;&lt;p&gt;&lt;/p&gt;&lt;/div&gt;</v>
      </c>
    </row>
    <row r="229" spans="1:3" ht="87">
      <c r="A229" s="4" t="s">
        <v>111</v>
      </c>
      <c r="C229" s="3" t="str">
        <f t="shared" si="3"/>
        <v>&lt;div class='layout'&gt;&lt;p&gt;with Emma in New York: DeLong, Thomas A., pp. 184–8; May-ling to Emma, 12 June 1946, Papers of Emma DeLong Mills, MSS.2, Wellesley College Archives; Chiang wrote to her frequently: Chiang Kai-shek: Family Correspondence, pp. 30–3&lt;/p&gt;&lt;p&gt;&lt;/p&gt;&lt;/div&gt;</v>
      </c>
    </row>
    <row r="230" spans="1:3" ht="87">
      <c r="A230" s="4" t="s">
        <v>112</v>
      </c>
      <c r="C230" s="3" t="str">
        <f t="shared" si="3"/>
        <v>&lt;div class='layout'&gt;&lt;p&gt;corruption scandal: Yang Tian-shi 2008, vol. 2, pp. 449–66; Koo, V.K. Wellington, Columbia University Archives, Vol. 5, Part F, p. 847; Emma noticed the mood: DeLong, Thomas A., pp. 184–90; May-ling to Times Square: DeLong, Thomas A., p. 191&lt;/p&gt;&lt;p&gt;&lt;/p&gt;&lt;/div&gt;</v>
      </c>
    </row>
    <row r="231" spans="1:3">
      <c r="A231" s="4" t="s">
        <v>113</v>
      </c>
      <c r="C231" s="3" t="str">
        <f t="shared" si="3"/>
        <v>&lt;div class='layout'&gt;&lt;p&gt;Chapter 18: The Downfall of the Chiang Regime&lt;/p&gt;&lt;p&gt;&lt;/p&gt;&lt;/div&gt;</v>
      </c>
    </row>
    <row r="232" spans="1:3" ht="69.599999999999994">
      <c r="A232" s="4" t="s">
        <v>289</v>
      </c>
      <c r="C232" s="3" t="str">
        <f t="shared" si="3"/>
        <v>&lt;div class='layout'&gt;&lt;p&gt;‘what is the noise about': date missing, August 1945, Chiang Kai-shek Diaries, Hoover Institution Archives; Mexican ambassador: date missing, August 1945, Chiang Kai-shek Diaries, Hoover Institution Archives&lt;/p&gt;&lt;p&gt;&lt;/p&gt;&lt;/div&gt;</v>
      </c>
    </row>
    <row r="233" spans="1:3" ht="104.4">
      <c r="A233" s="4" t="s">
        <v>290</v>
      </c>
      <c r="C233" s="3" t="str">
        <f t="shared" si="3"/>
        <v>&lt;div class='layout'&gt;&lt;p&gt;‘come as summoned': 31 August 1945, Chiang Kai-shek Diaries, Hoover Institution Archives; ‘I don't feel ready to go': DeLong, Thomas A., p. 191; Mao in Chongqing: Chang, Jung and Halliday, Jon, Chapter 27; Chiang Kai-shek (Chin Hsiao-i ed.), vol. 5, p. 2681; interview with Chen Li-fu, 15 February 1993&lt;/p&gt;&lt;p&gt;&lt;/p&gt;&lt;/div&gt;</v>
      </c>
    </row>
    <row r="234" spans="1:3">
      <c r="A234" s="4" t="s">
        <v>114</v>
      </c>
      <c r="C234" s="3" t="str">
        <f t="shared" si="3"/>
        <v>&lt;div class='layout'&gt;&lt;p&gt;Chiangs in Xichang: I Fu-en, pp. 111–12&lt;/p&gt;&lt;p&gt;&lt;/p&gt;&lt;/div&gt;</v>
      </c>
    </row>
    <row r="235" spans="1:3" ht="69.599999999999994">
      <c r="A235" s="4" t="s">
        <v>115</v>
      </c>
      <c r="C235" s="3" t="str">
        <f t="shared" si="3"/>
        <v>&lt;div class='layout'&gt;&lt;p&gt;Mao nervous breakdown: Chang, Jung and Halliday, Jon, Chapter 27; Chiang toured the country: Wu Kuo-Cheng, pp. 1, 18–19; I Fu-en, p. 113; Huang Ke-wu et al., vol. 1, pp. 289–90; vol. 2, p. 55&lt;/p&gt;&lt;p&gt;&lt;/p&gt;&lt;/div&gt;</v>
      </c>
    </row>
    <row r="236" spans="1:3" ht="52.2">
      <c r="A236" s="4" t="s">
        <v>291</v>
      </c>
      <c r="C236" s="3" t="str">
        <f t="shared" si="3"/>
        <v>&lt;div class='layout'&gt;&lt;p&gt;state-of-the-art C-54: I Fu-en, pp. 107–9; Epstein, Israel, p. 424; ‘slaves who have no country': Chang, Jung 1991, Chapter 4; Wu Kuo-Cheng, pp. 2–9, 38, 187&lt;/p&gt;&lt;p&gt;&lt;/p&gt;&lt;/div&gt;</v>
      </c>
    </row>
    <row r="237" spans="1:3" ht="104.4">
      <c r="A237" s="4" t="s">
        <v>116</v>
      </c>
      <c r="C237" s="3" t="str">
        <f t="shared" si="3"/>
        <v>&lt;div class='layout'&gt;&lt;p&gt;Wellington Koo reception: Koo, V.K. Wellington, Columbia University Archives, Vol. 5, Part F, pp. 861, 898; Tung, William L., p. 71; T.V. lost faith in Chiang: Beal, John Robinson, pp. 341–2; Wu Jing-ping and Kuo Tai-chun 2008a, pp. 97–104; Hua Shang Daily, 30 November 1947; Wu Kuo-Cheng, p. 189&lt;/p&gt;&lt;p&gt;&lt;/p&gt;&lt;/div&gt;</v>
      </c>
    </row>
    <row r="238" spans="1:3" ht="34.799999999999997">
      <c r="A238" s="4" t="s">
        <v>117</v>
      </c>
      <c r="C238" s="3" t="str">
        <f t="shared" si="3"/>
        <v>&lt;div class='layout'&gt;&lt;p&gt;Ei-ling will-like letter: Soong Ching-ling (Shanghai Soong Ching-ling Memorial Residence ed.), pp. 124–5&lt;/p&gt;&lt;p&gt;&lt;/p&gt;&lt;/div&gt;</v>
      </c>
    </row>
    <row r="239" spans="1:3" ht="87">
      <c r="A239" s="4" t="s">
        <v>118</v>
      </c>
      <c r="C239" s="3" t="str">
        <f t="shared" si="3"/>
        <v>&lt;div class='layout'&gt;&lt;p&gt;note Professor Wu Jing-ping, in Sun zhongshan soong chingling yanjiu dongtai (News in the Studies of Sun Yat-sen and Soong Ching-ling), 2006, issue 5, pp. 21–3; Shou Chong-yi ed., pp. 44, 61, 92–6, passim; Wu Jing-ping and Kuo Tai-chun 2008a, p. 150&lt;/p&gt;&lt;p&gt;&lt;/p&gt;&lt;/div&gt;</v>
      </c>
    </row>
    <row r="240" spans="1:3" ht="34.799999999999997">
      <c r="A240" s="4" t="s">
        <v>119</v>
      </c>
      <c r="C240" s="3" t="str">
        <f t="shared" si="3"/>
        <v>&lt;div class='layout'&gt;&lt;p&gt;Her other messengers: Soong Ching-ling (Shanghai Soong Ching-ling Memorial Residence ed.), p. 144&lt;/p&gt;&lt;p&gt;&lt;/p&gt;&lt;/div&gt;</v>
      </c>
    </row>
    <row r="241" spans="1:3" ht="104.4">
      <c r="A241" s="4" t="s">
        <v>292</v>
      </c>
      <c r="C241" s="3" t="str">
        <f t="shared" si="3"/>
        <v>&lt;div class='layout'&gt;&lt;p&gt;‘The last few months': 12 June 1946, Papers of Emma DeLong Mills, MSS.2, Wellesley College Archives; John Beal recalled: Beal, John Robinson, pp. 100–1; hankered for New York: 12 June, 31 August, 1 November 1946, 23 April 1947, 14 December 1948, Papers of Emma DeLong Mills, MSS.2, Wellesley College Archives&lt;/p&gt;&lt;p&gt;&lt;/p&gt;&lt;/div&gt;</v>
      </c>
    </row>
    <row r="242" spans="1:3" ht="52.2">
      <c r="A242" s="4" t="s">
        <v>120</v>
      </c>
      <c r="C242" s="3" t="str">
        <f t="shared" si="3"/>
        <v>&lt;div class='layout'&gt;&lt;p&gt;outing to Hangzhou: Epstein, Israel, p. 473; sending delicacies: Soong Ching-ling (Shanghai Soong Ching-ling Memorial Residence ed.), pp. 108, 144, 199&lt;/p&gt;&lt;p&gt;&lt;/p&gt;&lt;/div&gt;</v>
      </c>
    </row>
    <row r="243" spans="1:3" ht="34.799999999999997">
      <c r="A243" s="4" t="s">
        <v>121</v>
      </c>
      <c r="C243" s="3" t="str">
        <f t="shared" si="3"/>
        <v>&lt;div class='layout'&gt;&lt;p&gt;Barr commented: Topping, Seymour, p. 50; Red moles: Chang, Jung and Halliday, Jon, Chapter 29&lt;/p&gt;&lt;p&gt;&lt;/p&gt;&lt;/div&gt;</v>
      </c>
    </row>
    <row r="244" spans="1:3" ht="34.799999999999997">
      <c r="A244" s="4" t="s">
        <v>122</v>
      </c>
      <c r="C244" s="3" t="str">
        <f t="shared" si="3"/>
        <v>&lt;div class='layout'&gt;&lt;p&gt;Big-Eared Du–David–May–ling: Yang Tian-shi 2014, pp. 203–19; Chiang Ching-kuo 2011, pp. 258–67&lt;/p&gt;&lt;p&gt;&lt;/p&gt;&lt;/div&gt;</v>
      </c>
    </row>
    <row r="245" spans="1:3" ht="52.2">
      <c r="A245" s="4" t="s">
        <v>123</v>
      </c>
      <c r="C245" s="3" t="str">
        <f t="shared" si="3"/>
        <v>&lt;div class='layout'&gt;&lt;p&gt;Chiang noted in his diary: November 1948, Chiang Kai-shek Diaries, Hoover Institution Archives; Yang Tian-shi 2014, pp. 217&lt;/p&gt;&lt;p&gt;&lt;/p&gt;&lt;/div&gt;</v>
      </c>
    </row>
    <row r="246" spans="1:3" ht="139.19999999999999">
      <c r="A246" s="4" t="s">
        <v>293</v>
      </c>
      <c r="C246" s="3" t="str">
        <f t="shared" si="3"/>
        <v>&lt;div class='layout'&gt;&lt;p&gt;May-ling bitterly upset: 23 and 27 November 1948, Chiang Kai-shek Diaries, Hoover Institution Archives; Yang Tian-shi 2014, pp. 217–18; President Truman: Miller, Merle, p. 309; ‘Time and God': Soong May-ling (Madame Chiang Kai-shek) 1955, p. 26; ‘I wish I could fly back': Chiang Ching-kuo (Zhou Mei-hua and Xiao Li-ju eds.), vol. 1, p. 83; correspondence pp. 68–108; Chiang Kai-shek: Family Correspondence, pp. 34ff&lt;/p&gt;&lt;p&gt;&lt;/p&gt;&lt;/div&gt;</v>
      </c>
    </row>
    <row r="247" spans="1:3" ht="104.4">
      <c r="A247" s="4" t="s">
        <v>294</v>
      </c>
      <c r="C247" s="3" t="str">
        <f t="shared" si="3"/>
        <v>&lt;div class='layout'&gt;&lt;p&gt;May-ling suggested rashly: Chiang Ching-kuo (Zhou Mei-hua and Xiao Li-ju eds.), vol. 1, pp. 85–7; Chiang–May-ling telegrams: Chiang Ching-kuo (Zhou Mei-hua and Xiao Li-ju eds.), vol. 1, pp. 77ff; Chiang Kai-shek: Family Correspondence, pp. 34ff; Ei-ling ‘protest': Soong May-ling (Madame Chiang Kai-shek) 1955, p. 23&lt;/p&gt;&lt;p&gt;&lt;/p&gt;&lt;/div&gt;</v>
      </c>
    </row>
    <row r="248" spans="1:3" ht="87">
      <c r="A248" s="4" t="s">
        <v>295</v>
      </c>
      <c r="C248" s="3" t="str">
        <f t="shared" si="3"/>
        <v>&lt;div class='layout'&gt;&lt;p&gt;1 December 1949: Chiang Kai-shek: Family Correspondence, p. 38; ‘I had accompanied': Soong May-ling (Madame Chiang Kai-shek) 1955, pp. 23, 26; ‘I heard a Voice': Soong May-ling (Madame Chiang Kai-shek) 1955, pp. 23–4, cf. pp. 13–14&lt;/p&gt;&lt;p&gt;&lt;/p&gt;&lt;/div&gt;</v>
      </c>
    </row>
    <row r="249" spans="1:3" ht="69.599999999999994">
      <c r="A249" s="4" t="s">
        <v>296</v>
      </c>
      <c r="C249" s="3" t="str">
        <f t="shared" si="3"/>
        <v>&lt;div class='layout'&gt;&lt;p&gt;‘listened to [her] report': 13 January 1950, Chiang Kai-shek Diaries, Hoover Institution Archives; legendary heroes: Reflection of the week, 1950, Chiang Kai-shek Diaries, Hoover Institution Archives&lt;/p&gt;&lt;p&gt;&lt;/p&gt;&lt;/div&gt;</v>
      </c>
    </row>
    <row r="250" spans="1:3" ht="34.799999999999997">
      <c r="A250" s="4" t="s">
        <v>297</v>
      </c>
      <c r="C250" s="3" t="str">
        <f t="shared" si="3"/>
        <v>&lt;div class='layout'&gt;&lt;p&gt;Chapter 19: ‘We must crush warm-feeling-ism': Being Mao's Vice Chairman&lt;/p&gt;&lt;p&gt;&lt;/p&gt;&lt;/div&gt;</v>
      </c>
    </row>
    <row r="251" spans="1:3" ht="69.599999999999994">
      <c r="A251" s="4" t="s">
        <v>124</v>
      </c>
      <c r="C251" s="3" t="str">
        <f t="shared" si="3"/>
        <v>&lt;div class='layout'&gt;&lt;p&gt;May-ling to Red Sister: Soong Ching-ling (Shanghai Soong Ching-ling Memorial Residence ed.), p. 199; Red Sister did not reply: Soong Ching-ling (Shanghai Soong Ching-ling Memorial Residence ed.), p. 421&lt;/p&gt;&lt;p&gt;&lt;/p&gt;&lt;/div&gt;</v>
      </c>
    </row>
    <row r="252" spans="1:3" ht="174">
      <c r="A252" s="4" t="s">
        <v>298</v>
      </c>
      <c r="C252" s="3" t="str">
        <f t="shared" si="3"/>
        <v>&lt;div class='layout'&gt;&lt;p&gt;‘The day…at last come!': Zheng Peng-nian, p. 237; Soong Ching-ling (Shang Ming-xuan et al. eds.), vol. 2, p. 680; Ching-ling declined to go to Beijing: Soong Ching-ling (Shanghai Soong Ching-ling Memorial Residence ed.), vol. 2, pp. 175, 203, 206; Soong Ching-ling (Soong Ching-ling Foundation and China Welfare eds.), pp. 62, 188–9; Zhou En-lai, vol. 1, pp. 18, 47; ‘for medical treatment': Zhou En-lai, vol. 1, pp. 47–54; accepted the invitation: Soong Ching-ling (Shang Ming-xuan et al. eds.), vol. 2, p. 684; Zhou En-lai, vol. 1, pp. 47–54&lt;/p&gt;&lt;p&gt;&lt;/p&gt;&lt;/div&gt;</v>
      </c>
    </row>
    <row r="253" spans="1:3" ht="34.799999999999997">
      <c r="A253" s="4" t="s">
        <v>299</v>
      </c>
      <c r="C253" s="3" t="str">
        <f t="shared" si="3"/>
        <v>&lt;div class='layout'&gt;&lt;p&gt;‘how our homeland': Epstein, Israel, p. 479; ‘I am really getting': Epstein, Israel, p. 548&lt;/p&gt;&lt;p&gt;&lt;/p&gt;&lt;/div&gt;</v>
      </c>
    </row>
    <row r="254" spans="1:3" ht="121.8">
      <c r="A254" s="4" t="s">
        <v>300</v>
      </c>
      <c r="C254" s="3" t="str">
        <f t="shared" si="3"/>
        <v>&lt;div class='layout'&gt;&lt;p&gt;donated family properties: Soong Ching-ling (China Welfare ed.), p. 148; ‘shameless falsification': Soong Ching-ling (Shanghai Soong Ching-ling Memorial Residence ed.), vol. 2, p. 227; East German reception: Soong Ching-ling (Soong Ching-ling Foundation et al. eds.), p. 277; Christmas party: Soong Ching-ling (Soong Ching-ling Foundation et al. eds.), pp. 279, 335&lt;/p&gt;&lt;p&gt;&lt;/p&gt;&lt;/div&gt;</v>
      </c>
    </row>
    <row r="255" spans="1:3" ht="139.19999999999999">
      <c r="A255" s="4" t="s">
        <v>301</v>
      </c>
      <c r="C255" s="3" t="str">
        <f t="shared" si="3"/>
        <v>&lt;div class='layout'&gt;&lt;p&gt;Edgar Snow: Soong Ching-ling (Soong Ching-ling Foundation and China Welfare eds.), vol. 2, p. 292; ‘“burn” or “destroy”': e.g. Soong Ching-ling (Soong Ching-ling Foundation et al. eds.), p. 288; In ‘the Three Antis': Soong Ching-ling (Soong Ching-ling Foundation et al. eds.), pp. 286, 289–90, 296–7; ‘the right-wing way': Soong Ching-ling (Soong Ching-ling Foundation et al. eds.), p. 297&lt;/p&gt;&lt;p&gt;&lt;/p&gt;&lt;/div&gt;</v>
      </c>
    </row>
    <row r="256" spans="1:3" ht="121.8">
      <c r="A256" s="4" t="s">
        <v>125</v>
      </c>
      <c r="C256" s="3" t="str">
        <f t="shared" si="3"/>
        <v>&lt;div class='layout'&gt;&lt;p&gt;deeply upset: Shanghai Managing Committee of the Historical Objects of Sun Yat-sen and Soong Ching-ling ed., vol. 1, pp. 242, 269; cf. Soong Ching-ling (Shang Ming-xuan et al. eds.), vol. 2, p. 930; Ching-ling articles about Sun: Soong Ching-ling 1992, pp. 239–47; Shanghai Managing Committee of the Historical Objects of Sun Yat-sen and Soong Ching-ling ed., vol. 1, p. 274&lt;/p&gt;&lt;p&gt;&lt;/p&gt;&lt;/div&gt;</v>
      </c>
    </row>
    <row r="257" spans="1:3" ht="139.19999999999999">
      <c r="A257" s="4" t="s">
        <v>126</v>
      </c>
      <c r="C257" s="3" t="str">
        <f t="shared" si="3"/>
        <v>&lt;div class='layout'&gt;&lt;p&gt;Ching-ling told what she should say and incensed: Shanghai Managing Committee of the Historical Objects of Sun Yat-sen and Soong Ching-ling ed., vol. 1, pp. 269, 274; cousin of hers wrote: Shanghai Managing Committee of the Historical Objects of Sun Yat-sen and Soong Ching-ling ed., vol. 4, pp. 135–6; she was not invited: Shanghai Managing Committee of the Historical Objects of Sun Yat-sen and Soong Ching-ling ed., vol. 1, p. 242&lt;/p&gt;&lt;p&gt;&lt;/p&gt;&lt;/div&gt;</v>
      </c>
    </row>
    <row r="258" spans="1:3">
      <c r="A258" s="4" t="s">
        <v>127</v>
      </c>
      <c r="C258" s="3" t="str">
        <f t="shared" ref="C258:C321" si="4">CONCATENATE("&lt;div class='layout'&gt;&lt;p&gt;",A258,"&lt;/p&gt;","&lt;p&gt;",B258,"&lt;/p&gt;","&lt;/div&gt;")</f>
        <v>&lt;div class='layout'&gt;&lt;p&gt;chief bodyguard and his deputy: Tang Xiong 2006&lt;/p&gt;&lt;p&gt;&lt;/p&gt;&lt;/div&gt;</v>
      </c>
    </row>
    <row r="259" spans="1:3" ht="156.6">
      <c r="A259" s="4" t="s">
        <v>302</v>
      </c>
      <c r="C259" s="3" t="str">
        <f t="shared" si="4"/>
        <v>&lt;div class='layout'&gt;&lt;p&gt;Liu Shao-qi visits: Soong Ching-ling Memorial Committee ed., p. 187; ‘Dear Elder Sister': Soong Ching-ling (Shang Ming-xuan et al. eds.), vol. 2, p. 917; Sukarno of Indonesia: Soong Ching-ling (Shanghai Soong Ching-ling Memorial Residence ed.), p. 409; Soong Ching-ling (Shang Ming-xuan et al. eds.), vol. 2, pp. 943–8; Soong Ching-ling (China Welfare ed.), p. 144; Ching-ling–Ei-ling: Soong Ching-ling (Shanghai Soong Ching-ling Memorial Residence ed.), pp. 421–2&lt;/p&gt;&lt;p&gt;&lt;/p&gt;&lt;/div&gt;</v>
      </c>
    </row>
    <row r="260" spans="1:3">
      <c r="A260" s="4" t="s">
        <v>303</v>
      </c>
      <c r="C260" s="3" t="str">
        <f t="shared" si="4"/>
        <v>&lt;div class='layout'&gt;&lt;p&gt;‘the correct view': Soong Ching-ling 1992, vol. 2, p. 288&lt;/p&gt;&lt;p&gt;&lt;/p&gt;&lt;/div&gt;</v>
      </c>
    </row>
    <row r="261" spans="1:3" ht="104.4">
      <c r="A261" s="4" t="s">
        <v>304</v>
      </c>
      <c r="C261" s="3" t="str">
        <f t="shared" si="4"/>
        <v>&lt;div class='layout'&gt;&lt;p&gt;‘We must crush warm-feeling-ism': People's Daily, 10 September 1957; Backyard furnace: Soong Ching-ling (Shang Ming-xuan et al. eds.), vol. 2, p. 1012; Soong Ching-ling (China Welfare ed.), p. 103; ‘I feel very tense': Li Yun; to Anna Wang: Soong Ching-ling (Soong Ching-ling Foundation et al. eds.), p. 346&lt;/p&gt;&lt;p&gt;&lt;/p&gt;&lt;/div&gt;</v>
      </c>
    </row>
    <row r="262" spans="1:3" ht="104.4">
      <c r="A262" s="4" t="s">
        <v>128</v>
      </c>
      <c r="C262" s="3" t="str">
        <f t="shared" si="4"/>
        <v>&lt;div class='layout'&gt;&lt;p&gt;anxiety over her letters: Soong Ching-ling (Soong Ching-ling Foundation et al. eds.), pp. 348–53; some complaints: Soong Ching-ling (Soong Ching-ling Foundation et al. eds.), pp. 358–9, 366–9; Anna also sent her: Soong Ching-ling (Soong Ching-ling Foundation et al. eds.), pp. 346, 348, 356–8, 362&lt;/p&gt;&lt;p&gt;&lt;/p&gt;&lt;/div&gt;</v>
      </c>
    </row>
    <row r="263" spans="1:3" ht="87">
      <c r="A263" s="4" t="s">
        <v>305</v>
      </c>
      <c r="C263" s="3" t="str">
        <f t="shared" si="4"/>
        <v>&lt;div class='layout'&gt;&lt;p&gt;‘Let her finish her pee': Yolanda Sui's interviews, http://history.sina.com.cn/bk/wgs/2015–004-13/1440118715.shtml; https://v.qq.com/x/page/t0163kzni44.html; Tang Xiong 2006, p. 207&lt;/p&gt;&lt;p&gt;&lt;/p&gt;&lt;/div&gt;</v>
      </c>
    </row>
    <row r="264" spans="1:3">
      <c r="A264" s="4" t="s">
        <v>306</v>
      </c>
      <c r="C264" s="3" t="str">
        <f t="shared" si="4"/>
        <v>&lt;div class='layout'&gt;&lt;p&gt;Chapter 20: ‘I have no regrets'&lt;/p&gt;&lt;p&gt;&lt;/p&gt;&lt;/div&gt;</v>
      </c>
    </row>
    <row r="265" spans="1:3" ht="69.599999999999994">
      <c r="A265" s="4" t="s">
        <v>342</v>
      </c>
      <c r="C265" s="3" t="str">
        <f t="shared" si="4"/>
        <v>&lt;div class='layout'&gt;&lt;p&gt;Yolanda–Mama: Yolanda interviews, http://history.sina.com.cn/bk/wgs/2015–04-13/1440118715.shtml; https://v.qq.com/x/page/t0163kzni44.html;&lt;/p&gt;&lt;p&gt;&lt;/p&gt;&lt;/div&gt;</v>
      </c>
    </row>
    <row r="266" spans="1:3" ht="69.599999999999994">
      <c r="A266" s="4" t="s">
        <v>130</v>
      </c>
      <c r="C266" s="3" t="str">
        <f t="shared" si="4"/>
        <v>&lt;div class='layout'&gt;&lt;p&gt;https://tv.sohu.com/v/dXMvMzM1OTQxNjQwLzEyMTA0MzY1MC5zaHRtbA==.html; Tang, Earnest, p. 119; Yong-jie: Soong Ching-ling (Soong Ching-ling Foundation et al. eds.), p. 562; Tang Xiong 2006, pp. 163, 208&lt;/p&gt;&lt;p&gt;&lt;/p&gt;&lt;/div&gt;</v>
      </c>
    </row>
    <row r="267" spans="1:3" ht="69.599999999999994">
      <c r="A267" s="4" t="s">
        <v>343</v>
      </c>
      <c r="C267" s="3" t="str">
        <f t="shared" si="4"/>
        <v>&lt;div class='layout'&gt;&lt;p&gt;Mrs Sui: Tang Xiong 2006, pp. 168–9; Tang Xiong, in Woodpecker magazine, 2005, issue 7, http://www.360doc.com/content/15/0113/22/7915662_440550733.shtml;&lt;/p&gt;&lt;p&gt;&lt;/p&gt;&lt;/div&gt;</v>
      </c>
    </row>
    <row r="268" spans="1:3" ht="104.4">
      <c r="A268" s="4" t="s">
        <v>307</v>
      </c>
      <c r="C268" s="3" t="str">
        <f t="shared" si="4"/>
        <v>&lt;div class='layout'&gt;&lt;p&gt;‘The news made': Shanghai Managing Committee of the Historical Objects of Sun Yat-sen and Soong Ching-ling ed., vol. 1, p. 259; Yolanda later remarked: yolanda television interview with Lu Yu, https://tv.sohu.com/v/dXMvMzM4NDUwMzYxLzExNzkwMTUzNS5zaHRtbA==.html&lt;/p&gt;&lt;p&gt;&lt;/p&gt;&lt;/div&gt;</v>
      </c>
    </row>
    <row r="269" spans="1:3" ht="52.2">
      <c r="A269" s="4" t="s">
        <v>132</v>
      </c>
      <c r="C269" s="3" t="str">
        <f t="shared" si="4"/>
        <v>&lt;div class='layout'&gt;&lt;p&gt;new chief bodyguard: Soong Ching-ling (Soong Ching-ling Foundation et al. eds.), p. 387; Tang Xiong 2006, pp. 194–5; Li Yun&lt;/p&gt;&lt;p&gt;&lt;/p&gt;&lt;/div&gt;</v>
      </c>
    </row>
    <row r="270" spans="1:3" ht="87">
      <c r="A270" s="4" t="s">
        <v>133</v>
      </c>
      <c r="C270" s="3" t="str">
        <f t="shared" si="4"/>
        <v>&lt;div class='layout'&gt;&lt;p&gt;Fearing the Red Guards: Soong Ching-ling (Soong Ching-ling Foundation et al. eds.), p. 648; Soong Ching-ling (Shang Ming-xuan et al. eds.), vol. 2, p. 1179; Anna Louise Strong: Epstein, Israel, p. 548; Jin Zhong-hua: Zheng Peng-nian, pp. 270–3; Hua-ping&lt;/p&gt;&lt;p&gt;&lt;/p&gt;&lt;/div&gt;</v>
      </c>
    </row>
    <row r="271" spans="1:3" ht="52.2">
      <c r="A271" s="4" t="s">
        <v>308</v>
      </c>
      <c r="C271" s="3" t="str">
        <f t="shared" si="4"/>
        <v>&lt;div class='layout'&gt;&lt;p&gt;cousin Ni Ji-zhen: He Da-zhang, pp. 189–94; ‘partly responsible': Soong Ching-ling (Soong Ching-ling Foundation et al. eds.), pp. 401–2&lt;/p&gt;&lt;p&gt;&lt;/p&gt;&lt;/div&gt;</v>
      </c>
    </row>
    <row r="272" spans="1:3" ht="69.599999999999994">
      <c r="A272" s="4" t="s">
        <v>309</v>
      </c>
      <c r="C272" s="3" t="str">
        <f t="shared" si="4"/>
        <v>&lt;div class='layout'&gt;&lt;p&gt;‘The truth is that his clothes': Soong Ching-ling (Shang Ming-xuan et al. eds.), vol. 2, p. 1180; saw adopted daughters: Soong Ching-ling (Soong Ching-ling Foundation et al. eds.), pp. 395–6; Tang Xiong 2006, pp. 204–8&lt;/p&gt;&lt;p&gt;&lt;/p&gt;&lt;/div&gt;</v>
      </c>
    </row>
    <row r="273" spans="1:3" ht="191.4">
      <c r="A273" s="4" t="s">
        <v>310</v>
      </c>
      <c r="C273" s="3" t="str">
        <f t="shared" si="4"/>
        <v>&lt;div class='layout'&gt;&lt;p&gt;China's ‘holocaust': Soong Ching-ling (China Welfare ed.), p. 39; ‘It was good': Ching-ling to Paul Lin, 11 June 1972, Paul T. K. Lin Papers, Hong Kong University of Science and Technology Archives; Israel Epstein: Soong Ching-ling (Soong Ching-ling Foundation et al. eds.), pp. 452–3; cf. Soong Ching-ling (China Welfare ed.), p. 74; ‘This is no way': Soong Ching-ling (China Welfare ed.), p. 94; ‘They said she came': Soong Ching-ling (Soong Ching-ling Foundation et al. eds.), p. 459; Zhou smoothing her life: Soong Ching-ling (Shang Ming-xuan et al. eds.), vol. 2, p. 1249&lt;/p&gt;&lt;p&gt;&lt;/p&gt;&lt;/div&gt;</v>
      </c>
    </row>
    <row r="274" spans="1:3" ht="156.6">
      <c r="A274" s="4" t="s">
        <v>311</v>
      </c>
      <c r="C274" s="3" t="str">
        <f t="shared" si="4"/>
        <v>&lt;div class='layout'&gt;&lt;p&gt;Mao died: Soong Ching-ling (Shang Ming-xuan et al. eds.), vol. 2, p. 1263; Soong Ching-ling (China Welfare ed.), p. 129; ‘have no regrets': Yolanda interviews on television, https://www.youtube.com/watch?v=RRrPJo1gAyk; with Huanqiu Renwu (Global Personalities), http://history.sina.com.cn/bk/wgs/2015–04-13/1440118715.shtml; Mao on Jiang Qing: Chang, Jung and Halliday, Jon, beginning of Chapter 47, and last para of Chapter 56&lt;/p&gt;&lt;p&gt;&lt;/p&gt;&lt;/div&gt;</v>
      </c>
    </row>
    <row r="275" spans="1:3" ht="52.2">
      <c r="A275" s="4" t="s">
        <v>134</v>
      </c>
      <c r="C275" s="3" t="str">
        <f t="shared" si="4"/>
        <v>&lt;div class='layout'&gt;&lt;p&gt;Ching-ling to friends: Soong Ching-ling (China Welfare ed.), pp. 167, 145; Soong Ching-ling (Soong Ching-ling Foundation et al. eds.), p. 669&lt;/p&gt;&lt;p&gt;&lt;/p&gt;&lt;/div&gt;</v>
      </c>
    </row>
    <row r="276" spans="1:3" ht="191.4">
      <c r="A276" s="4" t="s">
        <v>312</v>
      </c>
      <c r="C276" s="3" t="str">
        <f t="shared" si="4"/>
        <v>&lt;div class='layout'&gt;&lt;p&gt;‘very relaxed': Yolanda interview with Huanqiu Renwu (Global Personalities), http://history.sina.com.cn/bk/wgs/2015–04-13/1440118715.shtml; her health problems: Soong Ching-ling (Soong Ching-ling Foundation et al. eds.), pp. 456–8; doted on adopted daughters: Soong Ching-ling (Soong Ching-ling Foundation et al. eds.), pp. 516, 555–6, 595, 562, 602, 616, 670, etc.; Epstein, Israel, p. 591; Tang, Earnest, pp. 120–3; Yolanda interview with Lu Yu, http://phtv.ifeng.com/a/20160624/41628425_0.shtml; Soong Ching-ling (China Welfare ed.), p. 115&lt;/p&gt;&lt;p&gt;&lt;/p&gt;&lt;/div&gt;</v>
      </c>
    </row>
    <row r="277" spans="1:3" ht="69.599999999999994">
      <c r="A277" s="4" t="s">
        <v>313</v>
      </c>
      <c r="C277" s="3" t="str">
        <f t="shared" si="4"/>
        <v>&lt;div class='layout'&gt;&lt;p&gt;Fox Butterfield: Butterfield, Fox, p. 130; ‘You are too late': Yolanda interview with Huanqiu Renwu (Global Personalities), http://history.sina.com.cn/bk/wgs/2015–04-13/1440118715.shtml&lt;/p&gt;&lt;p&gt;&lt;/p&gt;&lt;/div&gt;</v>
      </c>
    </row>
    <row r="278" spans="1:3" ht="174">
      <c r="A278" s="4" t="s">
        <v>314</v>
      </c>
      <c r="C278" s="3" t="str">
        <f t="shared" si="4"/>
        <v>&lt;div class='layout'&gt;&lt;p&gt;‘I hope somebody eligible': Epstein, Israel, p. 592; Yolanda interview, https://v.qq.com/x/page/t0163kzni44.html; Yolanda wedding and after: Butterfield, Fox, p. 131; Soong Ching-ling (Soong Ching-ling Foundation et al. eds.), pp. 663–70; Isaacs, Harold, p. 69; Yolanda interviews; Tang, Earnest, pp. 126–7; protective about Yong-jie: Soong Ching-ling (Soong Ching-ling Foundation et al. eds.), pp. 533, 555, 608–9, 618; Soong Ching-ling (China Welfare ed.), p. 186; Tang, Earnest, pp. 114, 123–5&lt;/p&gt;&lt;p&gt;&lt;/p&gt;&lt;/div&gt;</v>
      </c>
    </row>
    <row r="279" spans="1:3" ht="87">
      <c r="A279" s="4" t="s">
        <v>315</v>
      </c>
      <c r="C279" s="3" t="str">
        <f t="shared" si="4"/>
        <v>&lt;div class='layout'&gt;&lt;p&gt;Harold Isaacs wrote: Isaacs, Harold, pp. 69–72; ‘my Little Treasure': Yolanda interview with Huanqiu Renwu (Global Personalities), http://history.sina.com.cn/bk/wgs/2015–04–13/1440118715.shtml; Tang, Earnest, p. 127&lt;/p&gt;&lt;p&gt;&lt;/p&gt;&lt;/div&gt;</v>
      </c>
    </row>
    <row r="280" spans="1:3" ht="87">
      <c r="A280" s="4" t="s">
        <v>316</v>
      </c>
      <c r="C280" s="3" t="str">
        <f t="shared" si="4"/>
        <v>&lt;div class='layout'&gt;&lt;p&gt;Mrs Liu said to her: Soong Ching-ling (Shang Ming-xuan et al. eds.), vol. 2, p. 1430; Little Sister refused to reply: Chiang Ching-kuo (Zhou Mei-hua and Xiao Li-ju eds.), p. 152; ‘astonished to discover': Isaacs, Harold, p. 73; cf. Tang, Earnest, p. 134&lt;/p&gt;&lt;p&gt;&lt;/p&gt;&lt;/div&gt;</v>
      </c>
    </row>
    <row r="281" spans="1:3" ht="69.599999999999994">
      <c r="A281" s="4" t="s">
        <v>344</v>
      </c>
      <c r="C281" s="3" t="str">
        <f t="shared" si="4"/>
        <v>&lt;div class='layout'&gt;&lt;p&gt;affection for natural family: Yolanda interviews, https://tv.sohu.com/v/dXMvMzM4NDUwMzYxLzExNzkwMTUzNS5zaHRtbA==.html; https://v.qq.com/x/page/t0163kzni44.html; accused Snow: Tang, Earnest, p. 101&lt;/p&gt;&lt;p&gt;&lt;/p&gt;&lt;/div&gt;</v>
      </c>
    </row>
    <row r="282" spans="1:3" ht="52.2">
      <c r="A282" s="4" t="s">
        <v>317</v>
      </c>
      <c r="C282" s="3" t="str">
        <f t="shared" si="4"/>
        <v>&lt;div class='layout'&gt;&lt;p&gt;‘My Testament': Tang, Earnest, pp. 112–6, 140–1; Yolanda and Yong-jie chief beneficiaries: Shiji (The Century), February 2008; Tang, Earnest, p. 127&lt;/p&gt;&lt;p&gt;&lt;/p&gt;&lt;/div&gt;</v>
      </c>
    </row>
    <row r="283" spans="1:3">
      <c r="A283" s="4" t="s">
        <v>136</v>
      </c>
      <c r="C283" s="3" t="str">
        <f t="shared" si="4"/>
        <v>&lt;div class='layout'&gt;&lt;p&gt;Chapter 21: Taiwan Days&lt;/p&gt;&lt;p&gt;&lt;/p&gt;&lt;/div&gt;</v>
      </c>
    </row>
    <row r="284" spans="1:3" ht="34.799999999999997">
      <c r="A284" s="4" t="s">
        <v>318</v>
      </c>
      <c r="C284" s="3" t="str">
        <f t="shared" si="4"/>
        <v>&lt;div class='layout'&gt;&lt;p&gt;‘Why had the communists': Soong May-ling (Madame Chiang Kai-shek) 1955, p. 27–31&lt;/p&gt;&lt;p&gt;&lt;/p&gt;&lt;/div&gt;</v>
      </c>
    </row>
    <row r="285" spans="1:3" ht="87">
      <c r="A285" s="4" t="s">
        <v>137</v>
      </c>
      <c r="C285" s="3" t="str">
        <f t="shared" si="4"/>
        <v>&lt;div class='layout'&gt;&lt;p&gt;May-ling elated: to Emma, 25 July 1950, 26 January 1951, Papers of Emma DeLong Mills, MSS.2, Wellesley College Archives; May-ling learning to paint: to Emma, 21 October 1951, Emma to May-ling, 11 February 1952, Papers of Emma DeLong Mills, MSS.2, Wellesley College Archives&lt;/p&gt;&lt;p&gt;&lt;/p&gt;&lt;/div&gt;</v>
      </c>
    </row>
    <row r="286" spans="1:3">
      <c r="A286" s="4" t="s">
        <v>319</v>
      </c>
      <c r="C286" s="3" t="str">
        <f t="shared" si="4"/>
        <v>&lt;div class='layout'&gt;&lt;p&gt;‘Chiang-style head': Weng Yuan (with Wang Feng), p. 61&lt;/p&gt;&lt;p&gt;&lt;/p&gt;&lt;/div&gt;</v>
      </c>
    </row>
    <row r="287" spans="1:3" ht="52.2">
      <c r="A287" s="4" t="s">
        <v>138</v>
      </c>
      <c r="C287" s="3" t="str">
        <f t="shared" si="4"/>
        <v>&lt;div class='layout'&gt;&lt;p&gt;The earlier pattern: Chiang Kai-shek: Family Correspondence, pp. 39ff; Dr K.C. Wu: Wu Kuo-Cheng, passim; Chiang Kai-shek: Family Correspondence, p. 41&lt;/p&gt;&lt;p&gt;&lt;/p&gt;&lt;/div&gt;</v>
      </c>
    </row>
    <row r="288" spans="1:3" ht="34.799999999999997">
      <c r="A288" s="4" t="s">
        <v>320</v>
      </c>
      <c r="C288" s="3" t="str">
        <f t="shared" si="4"/>
        <v>&lt;div class='layout'&gt;&lt;p&gt;‘painting, painting': 19 December 1953, Papers of Emma DeLong Mills, MSS.2, Wellesley College Archives&lt;/p&gt;&lt;p&gt;&lt;/p&gt;&lt;/div&gt;</v>
      </c>
    </row>
    <row r="289" spans="1:3" ht="69.599999999999994">
      <c r="A289" s="4" t="s">
        <v>139</v>
      </c>
      <c r="C289" s="3" t="str">
        <f t="shared" si="4"/>
        <v>&lt;div class='layout'&gt;&lt;p&gt;told Emma wryly: 20 Feb. 1954, Papers of Emma DeLong Mills, MSS.2, Wellesley College Archives; cf. Chiang Kai-shek (Chin Hsiao-i ed.), vol. 8, pp. 3899–900; Chiang Kai-shek: Family Correspondence, p. 41&lt;/p&gt;&lt;p&gt;&lt;/p&gt;&lt;/div&gt;</v>
      </c>
    </row>
    <row r="290" spans="1:3" ht="69.599999999999994">
      <c r="A290" s="4" t="s">
        <v>140</v>
      </c>
      <c r="C290" s="3" t="str">
        <f t="shared" si="4"/>
        <v>&lt;div class='layout'&gt;&lt;p&gt;sobbed loudly in her dreams: 4 June 1951, Chiang Kai-shek Diaries, Hoover Institution Archives; Soviet Russia in China, Chiang Kai-shek 1957; Rev. Chow Lien-hwa: Hu Zi-dan&lt;/p&gt;&lt;p&gt;&lt;/p&gt;&lt;/div&gt;</v>
      </c>
    </row>
    <row r="291" spans="1:3" ht="104.4">
      <c r="A291" s="4" t="s">
        <v>321</v>
      </c>
      <c r="C291" s="3" t="str">
        <f t="shared" si="4"/>
        <v>&lt;div class='layout'&gt;&lt;p&gt;Ching-kuo–May-ling: Chiang Ching-kuo (Zhou Mei-hua and Xiao Li-ju eds.), vol. 1, pp. 198ff; vol. 2, p. 4; Emma noted in her diary: 28 December 1958, DeLong, Thomas A., p. 213; ‘the President's inauguration': 30 May 1960, Papers of Emma DeLong Mills, MSS.2, Wellesley College Archives&lt;/p&gt;&lt;p&gt;&lt;/p&gt;&lt;/div&gt;</v>
      </c>
    </row>
    <row r="292" spans="1:3" ht="87">
      <c r="A292" s="4" t="s">
        <v>322</v>
      </c>
      <c r="C292" s="3" t="str">
        <f t="shared" si="4"/>
        <v>&lt;div class='layout'&gt;&lt;p&gt;‘a very happy': 10 December 1962, T.V. Soong Papers, Box 61, folder no. 31, Hoover Institution Archives; ‘perfect darlings': 14 July 1956, to T.V., T.V. Soong Papers, Box 61, folder no. 31, Hoover Institution Archives; Her photographer: Huang Ke-wu et al., vol. 2, p. 485&lt;/p&gt;&lt;p&gt;&lt;/p&gt;&lt;/div&gt;</v>
      </c>
    </row>
    <row r="293" spans="1:3" ht="34.799999999999997">
      <c r="A293" s="4" t="s">
        <v>323</v>
      </c>
      <c r="C293" s="3" t="str">
        <f t="shared" si="4"/>
        <v>&lt;div class='layout'&gt;&lt;p&gt;‘change the colour': Huang Ke-wu et al., vol. 2, pp. 295, 432–4; Weng Yuan (with Wang Feng), pp. 112–13&lt;/p&gt;&lt;p&gt;&lt;/p&gt;&lt;/div&gt;</v>
      </c>
    </row>
    <row r="294" spans="1:3" ht="69.599999999999994">
      <c r="A294" s="4" t="s">
        <v>141</v>
      </c>
      <c r="C294" s="3" t="str">
        <f t="shared" si="4"/>
        <v>&lt;div class='layout'&gt;&lt;p&gt;two sedan chairs: Weng Yuan (with Wang Feng), p. 155; Huang Ke-wu et al., vol. 2, p. 490; fancy planes: I Fu-en, pp. 109–11; have staff fan him: Weng Yuan (with Wang Feng), p. 74&lt;/p&gt;&lt;p&gt;&lt;/p&gt;&lt;/div&gt;</v>
      </c>
    </row>
    <row r="295" spans="1:3" ht="191.4">
      <c r="A295" s="4" t="s">
        <v>324</v>
      </c>
      <c r="C295" s="3" t="str">
        <f t="shared" si="4"/>
        <v>&lt;div class='layout'&gt;&lt;p&gt;‘We are afflicted': Chen Li-wen ed. 2014, p. 92; ‘I am hopeful': 8 June 1972, Papers of Emma DeLong Mills, MSS.2, Wellesley College Archives; Chiang hated Nixon violently: November 1971ff, Chiang Kai-shek Diaries, Hoover Institution Archives; Yang Tian-shi 2014, pp. 217–18; wrath towards David: 14 and 25 December 1971, Chiang Kai-shek Diaries, Hoover Institution Archives; Yang Tian-shi 2014, p. 217; ‘The president is well': Huang Ke-wu et al., vol. 1, pp. 252–3; had a stroke: Shong Wen, pp. 118–19, 126; Weng Yuan (with Wang Feng), pp. 199–201, 233–8&lt;/p&gt;&lt;p&gt;&lt;/p&gt;&lt;/div&gt;</v>
      </c>
    </row>
    <row r="296" spans="1:3" ht="69.599999999999994">
      <c r="A296" s="4" t="s">
        <v>325</v>
      </c>
      <c r="C296" s="3" t="str">
        <f t="shared" si="4"/>
        <v>&lt;div class='layout'&gt;&lt;p&gt;‘You are my own flesh': interview with a relative who wishes to remain anonymous; tried to make David finance minister: Huang Ke-wu et al., vol. 1, pp. 304, 338; vol. 2, p. 165&lt;/p&gt;&lt;p&gt;&lt;/p&gt;&lt;/div&gt;</v>
      </c>
    </row>
    <row r="297" spans="1:3" ht="121.8">
      <c r="A297" s="4" t="s">
        <v>142</v>
      </c>
      <c r="C297" s="3" t="str">
        <f t="shared" si="4"/>
        <v>&lt;div class='layout'&gt;&lt;p&gt;only wanted to be with Ching-kuo: January 1972ff, Chiang Kai-shek Diaries, Hoover Institution Archives; Shong Wen, pp. 112, 120–1; Huang Ke-wu et al., vol. 1, p. 256; against May-ling and David: 17 and 26 March, 17 and 27 May, 12 June, 11 July 1972, Chiang Kai-shek Diaries, Hoover Institution Archives; Yang Tian-shi 2014, pp. 268–9&lt;/p&gt;&lt;p&gt;&lt;/p&gt;&lt;/div&gt;</v>
      </c>
    </row>
    <row r="298" spans="1:3" ht="208.8">
      <c r="A298" s="4" t="s">
        <v>326</v>
      </c>
      <c r="C298" s="3" t="str">
        <f t="shared" si="4"/>
        <v>&lt;div class='layout'&gt;&lt;p&gt;‘vexation and annoyance': 20 July 1972, Chiang Kai-shek Diaries, Hoover Institution Archives; signalling David was not included: 21 July 1972, Chiang Kai-shek Diaries, Hoover Institution Archives; Chiang sank into a coma: Weng Yuan (with Wang Feng), pp. 208–10, 223–8; May-ling breast cancer: Chen Li-wen ed. 2014, p. 195; Shong Wen, p. 121; Huang Ke-wu et al., vol. 1, p. 386; When Chiang died, May-ling: Huang Ke-wu et al., vol. 1, p. 615; vol. 2, p. 461; Chen Li-wen ed. 2014, pp. 45–6, 667; In contrast, Ching-kuo: Chen Li-wen ed. 2014, pp. 45–6; Huang Ke-wu et al., vol. 1, p. 666; Chiang Ching-kuo (Zhou Mei-hua and Xiao Li-ju eds.), vol. 2, p. 29&lt;/p&gt;&lt;p&gt;&lt;/p&gt;&lt;/div&gt;</v>
      </c>
    </row>
    <row r="299" spans="1:3" ht="69.599999999999994">
      <c r="A299" s="4" t="s">
        <v>143</v>
      </c>
      <c r="C299" s="3" t="str">
        <f t="shared" si="4"/>
        <v>&lt;div class='layout'&gt;&lt;p&gt;letters like these: Chiang Ching-kuo (Zhou Mei-hua and Xiao Li-ju eds.), vol. 1, pp. 326, 342–9; It fell on May-ling: Chiang Ching-kuo (Zhou Mei-hua and Xiao Li-ju eds.), vol. 1, p. 366&lt;/p&gt;&lt;p&gt;&lt;/p&gt;&lt;/div&gt;</v>
      </c>
    </row>
    <row r="300" spans="1:3" ht="139.19999999999999">
      <c r="A300" s="4" t="s">
        <v>144</v>
      </c>
      <c r="C300" s="3" t="str">
        <f t="shared" si="4"/>
        <v>&lt;div class='layout'&gt;&lt;p&gt;Mao mourning Chiang: Chang, Jung and Halliday, Jon, Chapter 58; picture of Chiang on bedside table: Chen Li-wen ed. 2014, pp. 18–19, 131; number of staff thirty-seven: interviews with Dr Jan Kung-ming, physician who treated May-ling in her last years; cf. Huang Ke-wu et al., vol. 2, pp. 295, 462–3; Chiang asked son to look after May-ling: Chiang Ching-kuo (Zhou Mei-hua and Xiao Li-ju eds.), vol. 1, pp. 325ff, 373, 586–8&lt;/p&gt;&lt;p&gt;&lt;/p&gt;&lt;/div&gt;</v>
      </c>
    </row>
    <row r="301" spans="1:3">
      <c r="A301" s="4" t="s">
        <v>145</v>
      </c>
      <c r="C301" s="3" t="str">
        <f t="shared" si="4"/>
        <v>&lt;div class='layout'&gt;&lt;p&gt;Chapter 22: The Hollywood Connection&lt;/p&gt;&lt;p&gt;&lt;/p&gt;&lt;/div&gt;</v>
      </c>
    </row>
    <row r="302" spans="1:3" ht="34.799999999999997">
      <c r="A302" s="4" t="s">
        <v>327</v>
      </c>
      <c r="C302" s="3" t="str">
        <f t="shared" si="4"/>
        <v>&lt;div class='layout'&gt;&lt;p&gt;‘Listen, Brother Chiang': Huang Ke-wu et al., vol. 2, pp. 482–3&lt;/p&gt;&lt;p&gt;&lt;/p&gt;&lt;/div&gt;</v>
      </c>
    </row>
    <row r="303" spans="1:3" ht="69.599999999999994">
      <c r="A303" s="4" t="s">
        <v>328</v>
      </c>
      <c r="C303" s="3" t="str">
        <f t="shared" si="4"/>
        <v>&lt;div class='layout'&gt;&lt;p&gt;$250,000 to Jennie: Ch'en Chieh-ju, pp. 5–10; provider of the family: Shong Wen, p. 172; interview with a relative who wishes to remain anonymous; H.H. boasted: K'ung Hsiang-hsi, pp. 114, 121–3, 147&lt;/p&gt;&lt;p&gt;&lt;/p&gt;&lt;/div&gt;</v>
      </c>
    </row>
    <row r="304" spans="1:3" ht="261">
      <c r="A304" s="4" t="s">
        <v>329</v>
      </c>
      <c r="C304" s="3" t="str">
        <f t="shared" si="4"/>
        <v>&lt;div class='layout'&gt;&lt;p&gt;Debra Paget, mother, Elvis: interview with relatives who wish to remain anonymous; https://www.pinterest.com/pin/308848486919331646/; Milton Berle interview with Elvis, https://www.youtube.com/watch?v=8x0uKy5GfMw; Shearer, Lloyd (15 July 1956), ‘More glamor for Hollywood', Albuquerque Journal, pp. 68–9, Newspapers.com; https://en.wikipedia.org/wiki/Debra_Paget – cite_note-aj-2; ‘When You Wish Upon a Star, or It's a Star-Spangled Life: Family Cast' at the Wayback Machine; http://www.elvis-history-blog.com/debra-paget.html; https://www.elvispresleyphotos.com/celebrities/debra-paget.html; https://www.newspapers.com/clip/2595360/the_san_bernardino_county_sun/&lt;/p&gt;&lt;p&gt;&lt;/p&gt;&lt;/div&gt;</v>
      </c>
    </row>
    <row r="305" spans="1:3" ht="226.2">
      <c r="A305" s="4" t="s">
        <v>330</v>
      </c>
      <c r="C305" s="3" t="str">
        <f t="shared" si="4"/>
        <v>&lt;div class='layout'&gt;&lt;p&gt;‘I looked forward to': https://www.elvis.com.au/presley/interview-milton-berle-elvis-presley.shtml; https://www.elvispresleyphotos.com/celebrities/debra-paget.html; Maggie vetoed marriage to Elvis: Debra Paget talks to Rick Stanley (Elvis Presley's step-brother), https://www.youtube.com/watch?v=EBZ5LPeRNJA; Ei-ling–Debra–Louis: https://www.newspapers.com/clip/2595390/independent/; https://www.newspapers.com/clip/2595390/independent/; ‘Debra Paget Weds Oilman, Nephew of Madame Chiang', http://www.glamourgirlsofthesilverscreen.com/show/214/Debra+Paget/index.html&lt;/p&gt;&lt;p&gt;&lt;/p&gt;&lt;/div&gt;</v>
      </c>
    </row>
    <row r="306" spans="1:3" ht="313.2">
      <c r="A306" s="4" t="s">
        <v>331</v>
      </c>
      <c r="C306" s="3" t="str">
        <f t="shared" si="4"/>
        <v>&lt;div class='layout'&gt;&lt;p&gt;the Westlin Bunker: https://www.google.co.uk/search?q=westlin+bunkerandtbm=ischandimgil=5axDGk-o2mwycM%3A%3BSYgUZJduRR2OnM%3Bhttp%3A%2F%2Fwww.houstonarchitecture.com%2FBuilding%2F2124%2FThe-Westlin-Bunker.phpandsource=iuandpf=mandfir=5axDGk-o2mwycM%3A%2CSYgUZJduRR2OnM%2C_andusg=__Oy5SF_7nb4TeMhfR9FthaHc7n3I%3Dandbiw=1407andbih=892andved=0ahUKEwjO_PSb9PnVAhUoJ8AKHT8GD20QyjcIXgandei=mQmkWY7MKajOgAa_jLzoBg#imgrc=zP9BUecaM81YeM; http://www.houstonarchitecture.com/Building/2124/The-Westlin-Bunker.php; Wall Street Journal, 2 October 2006, ‘Continental Airlines Finds a Safe Haven In a Texas Bunker'; Melanie Trottman, ‘Cold War Relic Gets New Use By Companies Worried About the Next Big Storm', https://cryptome.org/eyeball/cal-bunker/cal-bunker.htm; interview with T.V.'s grandson Michael Feng, 26 January 2016&lt;/p&gt;&lt;p&gt;&lt;/p&gt;&lt;/div&gt;</v>
      </c>
    </row>
    <row r="307" spans="1:3" ht="121.8">
      <c r="A307" s="4" t="s">
        <v>332</v>
      </c>
      <c r="C307" s="3" t="str">
        <f t="shared" si="4"/>
        <v>&lt;div class='layout'&gt;&lt;p&gt;Louis–May-ling–T.V.: T.V. to May-ling, 22 March 1969, T.V. Soong Papers, Box 61, folder no. 31, Hoover Institution Archives; Huang Ke-wu et al., vol. 1, pp. 403–7; interview with grandson Michael Feng, 19 October 2015; ‘We're the best of friends': http://www.glamourgirlsofthesilverscreen.com/show/214/Debra+Paget/index.html&lt;/p&gt;&lt;p&gt;&lt;/p&gt;&lt;/div&gt;</v>
      </c>
    </row>
    <row r="308" spans="1:3" ht="34.799999999999997">
      <c r="A308" s="4" t="s">
        <v>146</v>
      </c>
      <c r="C308" s="3" t="str">
        <f t="shared" si="4"/>
        <v>&lt;div class='layout'&gt;&lt;p&gt;May-ling on Gregory: Chiang Ching-kuo (Zhou Mei-hua and Xiao Li-ju eds.), vol. 2, p. 210&lt;/p&gt;&lt;p&gt;&lt;/p&gt;&lt;/div&gt;</v>
      </c>
    </row>
    <row r="309" spans="1:3">
      <c r="A309" s="4" t="s">
        <v>147</v>
      </c>
      <c r="C309" s="3" t="str">
        <f t="shared" si="4"/>
        <v>&lt;div class='layout'&gt;&lt;p&gt;Chapter 23: New York, New York&lt;/p&gt;&lt;p&gt;&lt;/p&gt;&lt;/div&gt;</v>
      </c>
    </row>
    <row r="310" spans="1:3" ht="104.4">
      <c r="A310" s="4" t="s">
        <v>148</v>
      </c>
      <c r="C310" s="3" t="str">
        <f t="shared" si="4"/>
        <v>&lt;div class='layout'&gt;&lt;p&gt;T.L.: Soong Ching-ling (Soong Ching-ling Foundation and China Welfare eds.), vol. 2, p. 823; Soong Ching-ling (Shang Ming-xuan et al. eds.), vol. 2, p. 1437; T.V. in New York: Wu Jing-ping and Kuo Tai-chun 2008a, pp. 130–7; Wu Kuo-Cheng, p. 161; interview with his daughter Laurette and grandson Michael Feng, 26 January 2016&lt;/p&gt;&lt;p&gt;&lt;/p&gt;&lt;/div&gt;</v>
      </c>
    </row>
    <row r="311" spans="1:3" ht="104.4">
      <c r="A311" s="4" t="s">
        <v>333</v>
      </c>
      <c r="C311" s="3" t="str">
        <f t="shared" si="4"/>
        <v>&lt;div class='layout'&gt;&lt;p&gt;relationship with Kungs: K'ung Hsiang-hsi, passim; T.V. letters, in T.V. Soong Papers, Box 61, folder no. 32, Hoover Institution Archives; interview with grandson Michael Feng, 19 October 2015; May-ling told her brother: 2 July 1962, T.V. Soong Papers, Box 61, folder no. 31, Hoover Institution Archives&lt;/p&gt;&lt;p&gt;&lt;/p&gt;&lt;/div&gt;</v>
      </c>
    </row>
    <row r="312" spans="1:3" ht="104.4">
      <c r="A312" s="4" t="s">
        <v>149</v>
      </c>
      <c r="C312" s="3" t="str">
        <f t="shared" si="4"/>
        <v>&lt;div class='layout'&gt;&lt;p&gt;he wrote to May-ling: 31 October 1962, T.V. Soong Papers, Box 61, folder no. 31, Hoover Institution Archives; T.V. to Taiwan: Wu Jing-ping and Kuo Tai-chun 2008a, p. 134; T.V. saw Harriman: T.V.–May-ling letters, 1 September and 7 October 1963, T.V. Soong Papers, Box 61, folder no. 31, Hoover Institution Archives&lt;/p&gt;&lt;p&gt;&lt;/p&gt;&lt;/div&gt;</v>
      </c>
    </row>
    <row r="313" spans="1:3" ht="121.8">
      <c r="A313" s="4" t="s">
        <v>150</v>
      </c>
      <c r="C313" s="3" t="str">
        <f t="shared" si="4"/>
        <v>&lt;div class='layout'&gt;&lt;p&gt;T.V. death: Wu Jing-ping and Kuo Tai-chun 2008a, p. 146; interview with his daughter Laurette and grandson Michael Feng, 26 January 2016; Chiang stopped May-ling coming to T.V. funeral: 22 [sic] and 29 April 1971, Chiang Kai-shek Diaries, Hoover Institution Archives; T.V. family re Ching-ling: interview with his daughter Laurette and grandson Michael Feng, 26 January 2016&lt;/p&gt;&lt;p&gt;&lt;/p&gt;&lt;/div&gt;</v>
      </c>
    </row>
    <row r="314" spans="1:3" ht="191.4">
      <c r="A314" s="4" t="s">
        <v>334</v>
      </c>
      <c r="C314" s="3" t="str">
        <f t="shared" si="4"/>
        <v>&lt;div class='layout'&gt;&lt;p&gt;Ching-ling re T.A. death: Epstein, Israel, p. 563; Chiang resentful towards T.V.: 15 April 1971, Chiang Kai-shek Diaries, Hoover Institution Archives; ‘The family deeply': 9 November 1971, Papers of Emma DeLong Mills, MSS.2, Wellesley College Archives; Ei-ling did not attend: May-ling to Emma, 15 March and 9 November 1971, Papers of Emma DeLong Mills, MSS.2, Wellesley College Archives; When H.H. Kung died: 24 August 1967, Papers of Emma DeLong Mills, MSS.2, Wellesley College Archives; Chiang Ching-kuo (Zhou Mei-hua and Xiao Li-ju eds.), vol. 1, pp. 315–22; vol. 2, p. 624&lt;/p&gt;&lt;p&gt;&lt;/p&gt;&lt;/div&gt;</v>
      </c>
    </row>
    <row r="315" spans="1:3" ht="174">
      <c r="A315" s="4" t="s">
        <v>335</v>
      </c>
      <c r="C315" s="3" t="str">
        <f t="shared" si="4"/>
        <v>&lt;div class='layout'&gt;&lt;p&gt;When Ei-ling was dying: 12 May 1969, 7 December 1973, Papers of Emma DeLong Mills, MSS.2, Wellesley College Archives; Shong Wen, p. 172; Jeanette devotion to her aunt: interviews with Dr Jan Kung-ming, Jeanette's physician, who also treated May-ling; Shong Wen, pp. 149–58; Huang Ke-wu et al., vol. 1, pp. 246, 256, 391–2; vol. 2, pp. 164, 392–5, 406; Congress reception for May-ling: Chen Li-wen ed. 2014, pp. 112–13, 219–30, 264; interview with a member of May-ling's household in New York who wishes to remain anonymous, 21 October 2015&lt;/p&gt;&lt;p&gt;&lt;/p&gt;&lt;/div&gt;</v>
      </c>
    </row>
    <row r="316" spans="1:3">
      <c r="A316" s="4" t="s">
        <v>336</v>
      </c>
      <c r="C316" s="3" t="str">
        <f t="shared" si="4"/>
        <v>&lt;div class='layout'&gt;&lt;p&gt;‘When you were small': Chen Li-wen ed. 2014, p. 55&lt;/p&gt;&lt;p&gt;&lt;/p&gt;&lt;/div&gt;</v>
      </c>
    </row>
    <row r="317" spans="1:3">
      <c r="A317" s="4" t="s">
        <v>151</v>
      </c>
      <c r="C317" s="3" t="str">
        <f t="shared" si="4"/>
        <v>&lt;div class='layout'&gt;&lt;p&gt;Chapter 24: In the Face of a Changed Time&lt;/p&gt;&lt;p&gt;&lt;/p&gt;&lt;/div&gt;</v>
      </c>
    </row>
    <row r="318" spans="1:3" ht="139.19999999999999">
      <c r="A318" s="4" t="s">
        <v>337</v>
      </c>
      <c r="C318" s="3" t="str">
        <f t="shared" si="4"/>
        <v>&lt;div class='layout'&gt;&lt;p&gt;she told Ching-kuo: Chiang Ching-kuo (Zhou Mei-hua and Xiao Li-ju eds.), vol. 2, pp. 3–29, 92–9, 677–86; ‘Deng the Bandit': Chiang Ching-kuo (Zhou Mei-hua and Xiao Li-ju eds.), vol. 2, pp. 601, 607, 675; sat up all night: interview with a member of May-ling's household in New York who wishes to remain anonymous, 21 October 2015; Chiang Ching-kuo (Zhou Mei-hua and Xiao Li-ju eds.), vol. 2, pp. 152–3&lt;/p&gt;&lt;p&gt;&lt;/p&gt;&lt;/div&gt;</v>
      </c>
    </row>
    <row r="319" spans="1:3" ht="104.4">
      <c r="A319" s="4" t="s">
        <v>152</v>
      </c>
      <c r="C319" s="3" t="str">
        <f t="shared" si="4"/>
        <v>&lt;div class='layout'&gt;&lt;p&gt;letter allegedly written by Ching-ling: Chiang Ching-kuo (Zhou Mei-hua and Xiao Li-ju eds.), vol. 2, pp. 163–9; offered to reply: Chiang Ching-kuo (Zhou Mei-hua and Xiao Li-ju eds.), vol. 2, pp. 278–88; against Sterling Seagrave: Chiang Ching-kuo (Zhou Mei-hua and Xiao Li-ju eds.), vol. 2, pp. 512ff; DeLong, Thomas A., p. 244&lt;/p&gt;&lt;p&gt;&lt;/p&gt;&lt;/div&gt;</v>
      </c>
    </row>
    <row r="320" spans="1:3" ht="34.799999999999997">
      <c r="A320" s="4" t="s">
        <v>345</v>
      </c>
      <c r="C320" s="3" t="str">
        <f t="shared" si="4"/>
        <v>&lt;div class='layout'&gt;&lt;p&gt;Chiang centenary: https://www.youtube.com/watch?v=les3zpWSPXs&lt;/p&gt;&lt;p&gt;&lt;/p&gt;&lt;/div&gt;</v>
      </c>
    </row>
    <row r="321" spans="1:3" ht="34.799999999999997">
      <c r="A321" s="4" t="s">
        <v>154</v>
      </c>
      <c r="C321" s="3" t="str">
        <f t="shared" si="4"/>
        <v>&lt;div class='layout'&gt;&lt;p&gt;Ching-kuo hostage years: Chiang Ching-kuo, in Cline, Ray S.&lt;/p&gt;&lt;p&gt;&lt;/p&gt;&lt;/div&gt;</v>
      </c>
    </row>
    <row r="322" spans="1:3">
      <c r="A322" s="4" t="s">
        <v>155</v>
      </c>
      <c r="C322" s="3" t="str">
        <f t="shared" ref="C322:C325" si="5">CONCATENATE("&lt;div class='layout'&gt;&lt;p&gt;",A322,"&lt;/p&gt;","&lt;p&gt;",B322,"&lt;/p&gt;","&lt;/div&gt;")</f>
        <v>&lt;div class='layout'&gt;&lt;p&gt;His staff noticed: Weng Yuan (with Wang Feng), pp. 428–9&lt;/p&gt;&lt;p&gt;&lt;/p&gt;&lt;/div&gt;</v>
      </c>
    </row>
    <row r="323" spans="1:3" ht="156.6">
      <c r="A323" s="4" t="s">
        <v>346</v>
      </c>
      <c r="C323" s="3" t="str">
        <f t="shared" si="5"/>
        <v>&lt;div class='layout'&gt;&lt;p&gt;She had mixed feelings: her speech 7 July 1988, http://blog.sciencenet.cn/blog-51807–883264.html; son Hsiao-yung: Weng Yuan (with Wang Feng), pp. 432–5; Lee alarmed May-ling: Chiang Ching-kuo (Zhou Mei-hua and Xiao Li-ju eds.), vol. 2, p. 399; Jeanette took over Grand Hotel: Zhou Hong-tao (with Wang Shi-chun), pp. 485–90; May-ling tried to keep party chairmanship: Shaw Yu-ming, p. 260; speech 7 July 1988, http://blog.sciencenet.cn/blog-51807–883264.html&lt;/p&gt;&lt;p&gt;&lt;/p&gt;&lt;/div&gt;</v>
      </c>
    </row>
    <row r="324" spans="1:3" ht="104.4">
      <c r="A324" s="4" t="s">
        <v>157</v>
      </c>
      <c r="C324" s="3" t="str">
        <f t="shared" si="5"/>
        <v>&lt;div class='layout'&gt;&lt;p&gt;lifestyle guaranteed: Chen Li-wen ed. 2014, pp. 32–3, 326–7, passim; Kungs contribute a portion: Chen Li-wen ed. 2014, pp. 19–20; fretted about money: Chen Li-wen ed. 2014, pp. 137–8; Praying and reading the Bible: Chen Li-wen ed. 2014, pp. 120, 341, 348, passim; hardly ever reminisced: Chen Li-wen ed. 2014, pp. 18, 265&lt;/p&gt;&lt;p&gt;&lt;/p&gt;&lt;/div&gt;</v>
      </c>
    </row>
    <row r="325" spans="1:3" ht="87">
      <c r="A325" s="4" t="s">
        <v>158</v>
      </c>
      <c r="C325" s="3" t="str">
        <f t="shared" si="5"/>
        <v>&lt;div class='layout'&gt;&lt;p&gt;often muttering: Chen Li-wen ed. 2014, pp. 113, 219; interred with Ei-ling: Chen Li-wen ed. 2014, p. 270; funeral low-key: Chen Li-wen ed. 2014, pp. 16–17, 270–1, 306–7; Chen Shui-bian to pay respects: Chen Li-wen ed. 2014, pp. 307–8&lt;/p&gt;&lt;p&gt;&lt;/p&gt;&lt;/div&gt;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24"/>
  <sheetViews>
    <sheetView workbookViewId="0"/>
  </sheetViews>
  <sheetFormatPr defaultRowHeight="14.4"/>
  <cols>
    <col min="1" max="1" width="125" customWidth="1"/>
  </cols>
  <sheetData>
    <row r="1" spans="1:1" ht="20.399999999999999">
      <c r="A1" s="7" t="s">
        <v>14</v>
      </c>
    </row>
    <row r="2" spans="1:1" ht="15">
      <c r="A2" s="8" t="s">
        <v>15</v>
      </c>
    </row>
    <row r="3" spans="1:1">
      <c r="A3" t="s">
        <v>159</v>
      </c>
    </row>
    <row r="4" spans="1:1">
      <c r="A4" t="s">
        <v>160</v>
      </c>
    </row>
    <row r="5" spans="1:1">
      <c r="A5" t="s">
        <v>161</v>
      </c>
    </row>
    <row r="6" spans="1:1">
      <c r="A6" t="s">
        <v>16</v>
      </c>
    </row>
    <row r="7" spans="1:1">
      <c r="A7" t="s">
        <v>17</v>
      </c>
    </row>
    <row r="8" spans="1:1">
      <c r="A8" t="s">
        <v>162</v>
      </c>
    </row>
    <row r="9" spans="1:1">
      <c r="A9" t="s">
        <v>18</v>
      </c>
    </row>
    <row r="10" spans="1:1">
      <c r="A10" t="s">
        <v>163</v>
      </c>
    </row>
    <row r="11" spans="1:1">
      <c r="A11" t="s">
        <v>19</v>
      </c>
    </row>
    <row r="12" spans="1:1">
      <c r="A12" t="s">
        <v>20</v>
      </c>
    </row>
    <row r="13" spans="1:1">
      <c r="A13" t="s">
        <v>164</v>
      </c>
    </row>
    <row r="14" spans="1:1">
      <c r="A14" t="s">
        <v>165</v>
      </c>
    </row>
    <row r="15" spans="1:1">
      <c r="A15" t="s">
        <v>166</v>
      </c>
    </row>
    <row r="16" spans="1:1">
      <c r="A16" t="s">
        <v>21</v>
      </c>
    </row>
    <row r="17" spans="1:1">
      <c r="A17" t="s">
        <v>167</v>
      </c>
    </row>
    <row r="18" spans="1:1">
      <c r="A18" t="s">
        <v>22</v>
      </c>
    </row>
    <row r="19" spans="1:1">
      <c r="A19" t="s">
        <v>168</v>
      </c>
    </row>
    <row r="20" spans="1:1">
      <c r="A20" t="s">
        <v>169</v>
      </c>
    </row>
    <row r="21" spans="1:1">
      <c r="A21" t="s">
        <v>23</v>
      </c>
    </row>
    <row r="22" spans="1:1">
      <c r="A22" t="s">
        <v>170</v>
      </c>
    </row>
    <row r="23" spans="1:1">
      <c r="A23" t="s">
        <v>24</v>
      </c>
    </row>
    <row r="24" spans="1:1">
      <c r="A24" t="s">
        <v>25</v>
      </c>
    </row>
    <row r="25" spans="1:1" ht="15">
      <c r="A25" s="8" t="s">
        <v>26</v>
      </c>
    </row>
    <row r="26" spans="1:1">
      <c r="A26" t="s">
        <v>27</v>
      </c>
    </row>
    <row r="27" spans="1:1">
      <c r="A27" t="s">
        <v>28</v>
      </c>
    </row>
    <row r="28" spans="1:1">
      <c r="A28" t="s">
        <v>171</v>
      </c>
    </row>
    <row r="29" spans="1:1">
      <c r="A29" t="s">
        <v>172</v>
      </c>
    </row>
    <row r="30" spans="1:1">
      <c r="A30" t="s">
        <v>173</v>
      </c>
    </row>
    <row r="31" spans="1:1">
      <c r="A31" t="s">
        <v>29</v>
      </c>
    </row>
    <row r="32" spans="1:1">
      <c r="A32" t="s">
        <v>30</v>
      </c>
    </row>
    <row r="33" spans="1:1">
      <c r="A33" t="s">
        <v>31</v>
      </c>
    </row>
    <row r="34" spans="1:1">
      <c r="A34" t="s">
        <v>174</v>
      </c>
    </row>
    <row r="35" spans="1:1">
      <c r="A35" t="s">
        <v>175</v>
      </c>
    </row>
    <row r="36" spans="1:1">
      <c r="A36" t="s">
        <v>176</v>
      </c>
    </row>
    <row r="37" spans="1:1" ht="113.4">
      <c r="A37" s="9" t="s">
        <v>177</v>
      </c>
    </row>
    <row r="38" spans="1:1" ht="15">
      <c r="A38" s="8" t="s">
        <v>178</v>
      </c>
    </row>
    <row r="39" spans="1:1">
      <c r="A39" t="s">
        <v>32</v>
      </c>
    </row>
    <row r="40" spans="1:1">
      <c r="A40" t="s">
        <v>179</v>
      </c>
    </row>
    <row r="41" spans="1:1">
      <c r="A41" t="s">
        <v>180</v>
      </c>
    </row>
    <row r="42" spans="1:1">
      <c r="A42" t="s">
        <v>33</v>
      </c>
    </row>
    <row r="43" spans="1:1">
      <c r="A43" t="s">
        <v>34</v>
      </c>
    </row>
    <row r="44" spans="1:1" ht="31.8">
      <c r="A44" s="9" t="s">
        <v>35</v>
      </c>
    </row>
    <row r="45" spans="1:1">
      <c r="A45" t="s">
        <v>181</v>
      </c>
    </row>
    <row r="46" spans="1:1">
      <c r="A46" t="s">
        <v>182</v>
      </c>
    </row>
    <row r="47" spans="1:1" ht="48.6">
      <c r="A47" s="9" t="s">
        <v>183</v>
      </c>
    </row>
    <row r="48" spans="1:1">
      <c r="A48" t="s">
        <v>36</v>
      </c>
    </row>
    <row r="49" spans="1:1">
      <c r="A49" t="s">
        <v>37</v>
      </c>
    </row>
    <row r="50" spans="1:1">
      <c r="A50" t="s">
        <v>184</v>
      </c>
    </row>
    <row r="51" spans="1:1">
      <c r="A51" t="s">
        <v>38</v>
      </c>
    </row>
    <row r="52" spans="1:1">
      <c r="A52" t="s">
        <v>185</v>
      </c>
    </row>
    <row r="53" spans="1:1">
      <c r="A53" t="s">
        <v>39</v>
      </c>
    </row>
    <row r="54" spans="1:1">
      <c r="A54" t="s">
        <v>186</v>
      </c>
    </row>
    <row r="55" spans="1:1">
      <c r="A55" t="s">
        <v>187</v>
      </c>
    </row>
    <row r="56" spans="1:1">
      <c r="A56" t="s">
        <v>40</v>
      </c>
    </row>
    <row r="57" spans="1:1">
      <c r="A57" t="s">
        <v>41</v>
      </c>
    </row>
    <row r="58" spans="1:1" ht="15">
      <c r="A58" s="8" t="s">
        <v>42</v>
      </c>
    </row>
    <row r="59" spans="1:1">
      <c r="A59" t="s">
        <v>43</v>
      </c>
    </row>
    <row r="60" spans="1:1">
      <c r="A60" t="s">
        <v>188</v>
      </c>
    </row>
    <row r="61" spans="1:1">
      <c r="A61" t="s">
        <v>189</v>
      </c>
    </row>
    <row r="62" spans="1:1">
      <c r="A62" t="s">
        <v>190</v>
      </c>
    </row>
    <row r="63" spans="1:1">
      <c r="A63" t="s">
        <v>44</v>
      </c>
    </row>
    <row r="64" spans="1:1">
      <c r="A64" t="s">
        <v>45</v>
      </c>
    </row>
    <row r="65" spans="1:1">
      <c r="A65" t="s">
        <v>191</v>
      </c>
    </row>
    <row r="66" spans="1:1" ht="15">
      <c r="A66" s="8" t="s">
        <v>46</v>
      </c>
    </row>
    <row r="67" spans="1:1">
      <c r="A67" t="s">
        <v>192</v>
      </c>
    </row>
    <row r="68" spans="1:1">
      <c r="A68" t="s">
        <v>193</v>
      </c>
    </row>
    <row r="69" spans="1:1">
      <c r="A69" t="s">
        <v>194</v>
      </c>
    </row>
    <row r="70" spans="1:1">
      <c r="A70" t="s">
        <v>195</v>
      </c>
    </row>
    <row r="71" spans="1:1">
      <c r="A71" t="s">
        <v>196</v>
      </c>
    </row>
    <row r="72" spans="1:1">
      <c r="A72" t="s">
        <v>47</v>
      </c>
    </row>
    <row r="73" spans="1:1">
      <c r="A73" t="s">
        <v>48</v>
      </c>
    </row>
    <row r="74" spans="1:1">
      <c r="A74" t="s">
        <v>49</v>
      </c>
    </row>
    <row r="75" spans="1:1">
      <c r="A75" t="s">
        <v>50</v>
      </c>
    </row>
    <row r="76" spans="1:1">
      <c r="A76" t="s">
        <v>197</v>
      </c>
    </row>
    <row r="77" spans="1:1" ht="48.6">
      <c r="A77" s="9" t="s">
        <v>198</v>
      </c>
    </row>
    <row r="78" spans="1:1" ht="31.8">
      <c r="A78" s="9" t="s">
        <v>51</v>
      </c>
    </row>
    <row r="79" spans="1:1" ht="76.2">
      <c r="A79" s="9" t="s">
        <v>52</v>
      </c>
    </row>
    <row r="80" spans="1:1" ht="15">
      <c r="A80" s="8" t="s">
        <v>53</v>
      </c>
    </row>
    <row r="81" spans="1:1">
      <c r="A81" t="s">
        <v>199</v>
      </c>
    </row>
    <row r="82" spans="1:1">
      <c r="A82" t="s">
        <v>54</v>
      </c>
    </row>
    <row r="83" spans="1:1">
      <c r="A83" t="s">
        <v>55</v>
      </c>
    </row>
    <row r="84" spans="1:1">
      <c r="A84" t="s">
        <v>200</v>
      </c>
    </row>
    <row r="85" spans="1:1">
      <c r="A85" t="s">
        <v>201</v>
      </c>
    </row>
    <row r="86" spans="1:1">
      <c r="A86" t="s">
        <v>202</v>
      </c>
    </row>
    <row r="87" spans="1:1">
      <c r="A87" t="s">
        <v>203</v>
      </c>
    </row>
    <row r="88" spans="1:1">
      <c r="A88" t="s">
        <v>56</v>
      </c>
    </row>
    <row r="89" spans="1:1">
      <c r="A89" t="s">
        <v>204</v>
      </c>
    </row>
    <row r="90" spans="1:1">
      <c r="A90" t="s">
        <v>205</v>
      </c>
    </row>
    <row r="91" spans="1:1">
      <c r="A91" t="s">
        <v>206</v>
      </c>
    </row>
    <row r="92" spans="1:1">
      <c r="A92" t="s">
        <v>207</v>
      </c>
    </row>
    <row r="93" spans="1:1">
      <c r="A93" t="s">
        <v>57</v>
      </c>
    </row>
    <row r="94" spans="1:1">
      <c r="A94" t="s">
        <v>208</v>
      </c>
    </row>
    <row r="95" spans="1:1" ht="15">
      <c r="A95" s="8" t="s">
        <v>209</v>
      </c>
    </row>
    <row r="96" spans="1:1">
      <c r="A96" t="s">
        <v>210</v>
      </c>
    </row>
    <row r="97" spans="1:1">
      <c r="A97" t="s">
        <v>211</v>
      </c>
    </row>
    <row r="98" spans="1:1">
      <c r="A98" t="s">
        <v>212</v>
      </c>
    </row>
    <row r="99" spans="1:1">
      <c r="A99" t="s">
        <v>58</v>
      </c>
    </row>
    <row r="100" spans="1:1">
      <c r="A100" t="s">
        <v>213</v>
      </c>
    </row>
    <row r="101" spans="1:1">
      <c r="A101" t="s">
        <v>214</v>
      </c>
    </row>
    <row r="102" spans="1:1">
      <c r="A102" t="s">
        <v>215</v>
      </c>
    </row>
    <row r="103" spans="1:1">
      <c r="A103" t="s">
        <v>59</v>
      </c>
    </row>
    <row r="104" spans="1:1">
      <c r="A104" t="s">
        <v>216</v>
      </c>
    </row>
    <row r="105" spans="1:1">
      <c r="A105" t="s">
        <v>60</v>
      </c>
    </row>
    <row r="106" spans="1:1">
      <c r="A106" t="s">
        <v>61</v>
      </c>
    </row>
    <row r="107" spans="1:1" ht="31.8">
      <c r="A107" s="9" t="s">
        <v>62</v>
      </c>
    </row>
    <row r="108" spans="1:1">
      <c r="A108" t="s">
        <v>217</v>
      </c>
    </row>
    <row r="109" spans="1:1">
      <c r="A109" t="s">
        <v>218</v>
      </c>
    </row>
    <row r="110" spans="1:1">
      <c r="A110" t="s">
        <v>219</v>
      </c>
    </row>
    <row r="111" spans="1:1" ht="15">
      <c r="A111" s="8" t="s">
        <v>63</v>
      </c>
    </row>
    <row r="112" spans="1:1">
      <c r="A112" t="s">
        <v>220</v>
      </c>
    </row>
    <row r="113" spans="1:1">
      <c r="A113" t="s">
        <v>221</v>
      </c>
    </row>
    <row r="114" spans="1:1">
      <c r="A114" t="s">
        <v>64</v>
      </c>
    </row>
    <row r="115" spans="1:1">
      <c r="A115" t="s">
        <v>65</v>
      </c>
    </row>
    <row r="116" spans="1:1">
      <c r="A116" t="s">
        <v>66</v>
      </c>
    </row>
    <row r="117" spans="1:1" ht="15">
      <c r="A117" s="8" t="s">
        <v>67</v>
      </c>
    </row>
    <row r="118" spans="1:1">
      <c r="A118" t="s">
        <v>222</v>
      </c>
    </row>
    <row r="119" spans="1:1">
      <c r="A119" t="s">
        <v>223</v>
      </c>
    </row>
    <row r="120" spans="1:1">
      <c r="A120" t="s">
        <v>68</v>
      </c>
    </row>
    <row r="121" spans="1:1">
      <c r="A121" t="s">
        <v>224</v>
      </c>
    </row>
    <row r="122" spans="1:1">
      <c r="A122" t="s">
        <v>225</v>
      </c>
    </row>
    <row r="123" spans="1:1">
      <c r="A123" t="s">
        <v>69</v>
      </c>
    </row>
    <row r="124" spans="1:1">
      <c r="A124" t="s">
        <v>70</v>
      </c>
    </row>
    <row r="125" spans="1:1">
      <c r="A125" t="s">
        <v>226</v>
      </c>
    </row>
    <row r="126" spans="1:1">
      <c r="A126" t="s">
        <v>71</v>
      </c>
    </row>
    <row r="127" spans="1:1">
      <c r="A127" t="s">
        <v>227</v>
      </c>
    </row>
    <row r="128" spans="1:1">
      <c r="A128" t="s">
        <v>228</v>
      </c>
    </row>
    <row r="129" spans="1:1">
      <c r="A129" t="s">
        <v>72</v>
      </c>
    </row>
    <row r="130" spans="1:1" ht="15">
      <c r="A130" s="8" t="s">
        <v>73</v>
      </c>
    </row>
    <row r="131" spans="1:1">
      <c r="A131" t="s">
        <v>229</v>
      </c>
    </row>
    <row r="132" spans="1:1">
      <c r="A132" t="s">
        <v>230</v>
      </c>
    </row>
    <row r="133" spans="1:1">
      <c r="A133" t="s">
        <v>231</v>
      </c>
    </row>
    <row r="134" spans="1:1" ht="32.4">
      <c r="A134" s="9" t="s">
        <v>232</v>
      </c>
    </row>
    <row r="135" spans="1:1" ht="48.6">
      <c r="A135" s="9" t="s">
        <v>233</v>
      </c>
    </row>
    <row r="136" spans="1:1">
      <c r="A136" t="s">
        <v>234</v>
      </c>
    </row>
    <row r="137" spans="1:1">
      <c r="A137" t="s">
        <v>74</v>
      </c>
    </row>
    <row r="138" spans="1:1">
      <c r="A138" t="s">
        <v>75</v>
      </c>
    </row>
    <row r="139" spans="1:1">
      <c r="A139" t="s">
        <v>76</v>
      </c>
    </row>
    <row r="140" spans="1:1">
      <c r="A140" t="s">
        <v>235</v>
      </c>
    </row>
    <row r="141" spans="1:1">
      <c r="A141" t="s">
        <v>236</v>
      </c>
    </row>
    <row r="142" spans="1:1">
      <c r="A142" t="s">
        <v>77</v>
      </c>
    </row>
    <row r="143" spans="1:1">
      <c r="A143" t="s">
        <v>237</v>
      </c>
    </row>
    <row r="144" spans="1:1">
      <c r="A144" t="s">
        <v>78</v>
      </c>
    </row>
    <row r="145" spans="1:1">
      <c r="A145" t="s">
        <v>79</v>
      </c>
    </row>
    <row r="146" spans="1:1">
      <c r="A146" t="s">
        <v>238</v>
      </c>
    </row>
    <row r="147" spans="1:1" ht="15">
      <c r="A147" s="8" t="s">
        <v>80</v>
      </c>
    </row>
    <row r="148" spans="1:1">
      <c r="A148" t="s">
        <v>81</v>
      </c>
    </row>
    <row r="149" spans="1:1">
      <c r="A149" t="s">
        <v>239</v>
      </c>
    </row>
    <row r="150" spans="1:1">
      <c r="A150" t="s">
        <v>82</v>
      </c>
    </row>
    <row r="151" spans="1:1">
      <c r="A151" t="s">
        <v>83</v>
      </c>
    </row>
    <row r="152" spans="1:1">
      <c r="A152" t="s">
        <v>240</v>
      </c>
    </row>
    <row r="153" spans="1:1">
      <c r="A153" t="s">
        <v>241</v>
      </c>
    </row>
    <row r="154" spans="1:1">
      <c r="A154" t="s">
        <v>84</v>
      </c>
    </row>
    <row r="155" spans="1:1">
      <c r="A155" t="s">
        <v>85</v>
      </c>
    </row>
    <row r="156" spans="1:1">
      <c r="A156" t="s">
        <v>242</v>
      </c>
    </row>
    <row r="157" spans="1:1">
      <c r="A157" t="s">
        <v>86</v>
      </c>
    </row>
    <row r="158" spans="1:1">
      <c r="A158" t="s">
        <v>87</v>
      </c>
    </row>
    <row r="159" spans="1:1">
      <c r="A159" t="s">
        <v>243</v>
      </c>
    </row>
    <row r="160" spans="1:1">
      <c r="A160" t="s">
        <v>244</v>
      </c>
    </row>
    <row r="161" spans="1:1">
      <c r="A161" t="s">
        <v>245</v>
      </c>
    </row>
    <row r="162" spans="1:1" ht="15">
      <c r="A162" s="8" t="s">
        <v>88</v>
      </c>
    </row>
    <row r="163" spans="1:1">
      <c r="A163" t="s">
        <v>246</v>
      </c>
    </row>
    <row r="164" spans="1:1" ht="64.8">
      <c r="A164" s="9" t="s">
        <v>247</v>
      </c>
    </row>
    <row r="165" spans="1:1">
      <c r="A165" t="s">
        <v>248</v>
      </c>
    </row>
    <row r="166" spans="1:1">
      <c r="A166" t="s">
        <v>249</v>
      </c>
    </row>
    <row r="167" spans="1:1">
      <c r="A167" t="s">
        <v>250</v>
      </c>
    </row>
    <row r="168" spans="1:1">
      <c r="A168" t="s">
        <v>251</v>
      </c>
    </row>
    <row r="169" spans="1:1">
      <c r="A169" t="s">
        <v>252</v>
      </c>
    </row>
    <row r="170" spans="1:1" ht="15">
      <c r="A170" s="8" t="s">
        <v>253</v>
      </c>
    </row>
    <row r="171" spans="1:1">
      <c r="A171" t="s">
        <v>89</v>
      </c>
    </row>
    <row r="172" spans="1:1">
      <c r="A172" t="s">
        <v>90</v>
      </c>
    </row>
    <row r="173" spans="1:1">
      <c r="A173" t="s">
        <v>254</v>
      </c>
    </row>
    <row r="174" spans="1:1">
      <c r="A174" t="s">
        <v>91</v>
      </c>
    </row>
    <row r="175" spans="1:1">
      <c r="A175" t="s">
        <v>255</v>
      </c>
    </row>
    <row r="176" spans="1:1">
      <c r="A176" t="s">
        <v>256</v>
      </c>
    </row>
    <row r="177" spans="1:1">
      <c r="A177" t="s">
        <v>92</v>
      </c>
    </row>
    <row r="178" spans="1:1" ht="15">
      <c r="A178" s="8" t="s">
        <v>257</v>
      </c>
    </row>
    <row r="179" spans="1:1">
      <c r="A179" t="s">
        <v>93</v>
      </c>
    </row>
    <row r="180" spans="1:1">
      <c r="A180" t="s">
        <v>94</v>
      </c>
    </row>
    <row r="181" spans="1:1">
      <c r="A181" t="s">
        <v>95</v>
      </c>
    </row>
    <row r="182" spans="1:1">
      <c r="A182" t="s">
        <v>258</v>
      </c>
    </row>
    <row r="183" spans="1:1">
      <c r="A183" t="s">
        <v>259</v>
      </c>
    </row>
    <row r="184" spans="1:1">
      <c r="A184" t="s">
        <v>96</v>
      </c>
    </row>
    <row r="185" spans="1:1">
      <c r="A185" t="s">
        <v>97</v>
      </c>
    </row>
    <row r="186" spans="1:1">
      <c r="A186" t="s">
        <v>260</v>
      </c>
    </row>
    <row r="187" spans="1:1">
      <c r="A187" t="s">
        <v>261</v>
      </c>
    </row>
    <row r="188" spans="1:1">
      <c r="A188" t="s">
        <v>98</v>
      </c>
    </row>
    <row r="189" spans="1:1" ht="15">
      <c r="A189" s="8" t="s">
        <v>99</v>
      </c>
    </row>
    <row r="190" spans="1:1">
      <c r="A190" t="s">
        <v>262</v>
      </c>
    </row>
    <row r="191" spans="1:1">
      <c r="A191" t="s">
        <v>100</v>
      </c>
    </row>
    <row r="192" spans="1:1">
      <c r="A192" t="s">
        <v>263</v>
      </c>
    </row>
    <row r="193" spans="1:1">
      <c r="A193" t="s">
        <v>264</v>
      </c>
    </row>
    <row r="194" spans="1:1">
      <c r="A194" t="s">
        <v>265</v>
      </c>
    </row>
    <row r="195" spans="1:1">
      <c r="A195" t="s">
        <v>101</v>
      </c>
    </row>
    <row r="196" spans="1:1">
      <c r="A196" t="s">
        <v>266</v>
      </c>
    </row>
    <row r="197" spans="1:1">
      <c r="A197" t="s">
        <v>267</v>
      </c>
    </row>
    <row r="198" spans="1:1">
      <c r="A198" t="s">
        <v>102</v>
      </c>
    </row>
    <row r="199" spans="1:1">
      <c r="A199" t="s">
        <v>268</v>
      </c>
    </row>
    <row r="200" spans="1:1">
      <c r="A200" t="s">
        <v>269</v>
      </c>
    </row>
    <row r="201" spans="1:1">
      <c r="A201" t="s">
        <v>270</v>
      </c>
    </row>
    <row r="202" spans="1:1">
      <c r="A202" t="s">
        <v>103</v>
      </c>
    </row>
    <row r="203" spans="1:1">
      <c r="A203" t="s">
        <v>271</v>
      </c>
    </row>
    <row r="204" spans="1:1">
      <c r="A204" t="s">
        <v>272</v>
      </c>
    </row>
    <row r="205" spans="1:1" ht="15">
      <c r="A205" s="8" t="s">
        <v>273</v>
      </c>
    </row>
    <row r="206" spans="1:1">
      <c r="A206" t="s">
        <v>274</v>
      </c>
    </row>
    <row r="207" spans="1:1">
      <c r="A207" t="s">
        <v>275</v>
      </c>
    </row>
    <row r="208" spans="1:1">
      <c r="A208" t="s">
        <v>104</v>
      </c>
    </row>
    <row r="209" spans="1:1">
      <c r="A209" t="s">
        <v>105</v>
      </c>
    </row>
    <row r="210" spans="1:1">
      <c r="A210" t="s">
        <v>106</v>
      </c>
    </row>
    <row r="211" spans="1:1">
      <c r="A211" t="s">
        <v>107</v>
      </c>
    </row>
    <row r="212" spans="1:1">
      <c r="A212" t="s">
        <v>276</v>
      </c>
    </row>
    <row r="213" spans="1:1">
      <c r="A213" t="s">
        <v>277</v>
      </c>
    </row>
    <row r="214" spans="1:1">
      <c r="A214" t="s">
        <v>278</v>
      </c>
    </row>
    <row r="215" spans="1:1">
      <c r="A215" t="s">
        <v>108</v>
      </c>
    </row>
    <row r="216" spans="1:1">
      <c r="A216" t="s">
        <v>279</v>
      </c>
    </row>
    <row r="217" spans="1:1">
      <c r="A217" t="s">
        <v>109</v>
      </c>
    </row>
    <row r="218" spans="1:1" ht="15">
      <c r="A218" s="8" t="s">
        <v>280</v>
      </c>
    </row>
    <row r="219" spans="1:1">
      <c r="A219" t="s">
        <v>281</v>
      </c>
    </row>
    <row r="220" spans="1:1">
      <c r="A220" t="s">
        <v>282</v>
      </c>
    </row>
    <row r="221" spans="1:1">
      <c r="A221" t="s">
        <v>283</v>
      </c>
    </row>
    <row r="222" spans="1:1">
      <c r="A222" t="s">
        <v>284</v>
      </c>
    </row>
    <row r="223" spans="1:1">
      <c r="A223" t="s">
        <v>110</v>
      </c>
    </row>
    <row r="224" spans="1:1">
      <c r="A224" t="s">
        <v>285</v>
      </c>
    </row>
    <row r="225" spans="1:1">
      <c r="A225" t="s">
        <v>286</v>
      </c>
    </row>
    <row r="226" spans="1:1">
      <c r="A226" t="s">
        <v>287</v>
      </c>
    </row>
    <row r="227" spans="1:1">
      <c r="A227" t="s">
        <v>288</v>
      </c>
    </row>
    <row r="228" spans="1:1">
      <c r="A228" t="s">
        <v>111</v>
      </c>
    </row>
    <row r="229" spans="1:1">
      <c r="A229" t="s">
        <v>112</v>
      </c>
    </row>
    <row r="230" spans="1:1" ht="15">
      <c r="A230" s="8" t="s">
        <v>113</v>
      </c>
    </row>
    <row r="231" spans="1:1">
      <c r="A231" t="s">
        <v>289</v>
      </c>
    </row>
    <row r="232" spans="1:1">
      <c r="A232" t="s">
        <v>290</v>
      </c>
    </row>
    <row r="233" spans="1:1">
      <c r="A233" t="s">
        <v>114</v>
      </c>
    </row>
    <row r="234" spans="1:1">
      <c r="A234" t="s">
        <v>115</v>
      </c>
    </row>
    <row r="235" spans="1:1">
      <c r="A235" t="s">
        <v>291</v>
      </c>
    </row>
    <row r="236" spans="1:1">
      <c r="A236" t="s">
        <v>116</v>
      </c>
    </row>
    <row r="237" spans="1:1">
      <c r="A237" t="s">
        <v>117</v>
      </c>
    </row>
    <row r="238" spans="1:1">
      <c r="A238" t="s">
        <v>118</v>
      </c>
    </row>
    <row r="239" spans="1:1">
      <c r="A239" t="s">
        <v>119</v>
      </c>
    </row>
    <row r="240" spans="1:1">
      <c r="A240" t="s">
        <v>292</v>
      </c>
    </row>
    <row r="241" spans="1:1">
      <c r="A241" t="s">
        <v>120</v>
      </c>
    </row>
    <row r="242" spans="1:1">
      <c r="A242" t="s">
        <v>121</v>
      </c>
    </row>
    <row r="243" spans="1:1">
      <c r="A243" t="s">
        <v>122</v>
      </c>
    </row>
    <row r="244" spans="1:1">
      <c r="A244" t="s">
        <v>123</v>
      </c>
    </row>
    <row r="245" spans="1:1">
      <c r="A245" t="s">
        <v>293</v>
      </c>
    </row>
    <row r="246" spans="1:1">
      <c r="A246" t="s">
        <v>294</v>
      </c>
    </row>
    <row r="247" spans="1:1">
      <c r="A247" t="s">
        <v>295</v>
      </c>
    </row>
    <row r="248" spans="1:1">
      <c r="A248" t="s">
        <v>296</v>
      </c>
    </row>
    <row r="249" spans="1:1" ht="15">
      <c r="A249" s="8" t="s">
        <v>297</v>
      </c>
    </row>
    <row r="250" spans="1:1">
      <c r="A250" t="s">
        <v>124</v>
      </c>
    </row>
    <row r="251" spans="1:1">
      <c r="A251" t="s">
        <v>298</v>
      </c>
    </row>
    <row r="252" spans="1:1">
      <c r="A252" t="s">
        <v>299</v>
      </c>
    </row>
    <row r="253" spans="1:1">
      <c r="A253" t="s">
        <v>300</v>
      </c>
    </row>
    <row r="254" spans="1:1">
      <c r="A254" t="s">
        <v>301</v>
      </c>
    </row>
    <row r="255" spans="1:1">
      <c r="A255" t="s">
        <v>125</v>
      </c>
    </row>
    <row r="256" spans="1:1">
      <c r="A256" t="s">
        <v>126</v>
      </c>
    </row>
    <row r="257" spans="1:1">
      <c r="A257" t="s">
        <v>127</v>
      </c>
    </row>
    <row r="258" spans="1:1">
      <c r="A258" t="s">
        <v>302</v>
      </c>
    </row>
    <row r="259" spans="1:1">
      <c r="A259" t="s">
        <v>303</v>
      </c>
    </row>
    <row r="260" spans="1:1">
      <c r="A260" t="s">
        <v>304</v>
      </c>
    </row>
    <row r="261" spans="1:1">
      <c r="A261" t="s">
        <v>128</v>
      </c>
    </row>
    <row r="262" spans="1:1" ht="32.4">
      <c r="A262" s="9" t="s">
        <v>305</v>
      </c>
    </row>
    <row r="263" spans="1:1" ht="15">
      <c r="A263" s="8" t="s">
        <v>306</v>
      </c>
    </row>
    <row r="264" spans="1:1" ht="31.8">
      <c r="A264" s="9" t="s">
        <v>129</v>
      </c>
    </row>
    <row r="265" spans="1:1">
      <c r="A265" t="s">
        <v>130</v>
      </c>
    </row>
    <row r="266" spans="1:1" ht="31.8">
      <c r="A266" s="9" t="s">
        <v>131</v>
      </c>
    </row>
    <row r="267" spans="1:1" ht="48.6">
      <c r="A267" s="9" t="s">
        <v>307</v>
      </c>
    </row>
    <row r="268" spans="1:1">
      <c r="A268" t="s">
        <v>132</v>
      </c>
    </row>
    <row r="269" spans="1:1">
      <c r="A269" t="s">
        <v>133</v>
      </c>
    </row>
    <row r="270" spans="1:1">
      <c r="A270" t="s">
        <v>308</v>
      </c>
    </row>
    <row r="271" spans="1:1">
      <c r="A271" t="s">
        <v>309</v>
      </c>
    </row>
    <row r="272" spans="1:1">
      <c r="A272" t="s">
        <v>310</v>
      </c>
    </row>
    <row r="273" spans="1:1" ht="64.8">
      <c r="A273" s="9" t="s">
        <v>311</v>
      </c>
    </row>
    <row r="274" spans="1:1">
      <c r="A274" t="s">
        <v>134</v>
      </c>
    </row>
    <row r="275" spans="1:1" ht="81">
      <c r="A275" s="9" t="s">
        <v>312</v>
      </c>
    </row>
    <row r="276" spans="1:1" ht="32.4">
      <c r="A276" s="9" t="s">
        <v>313</v>
      </c>
    </row>
    <row r="277" spans="1:1" ht="64.8">
      <c r="A277" s="9" t="s">
        <v>314</v>
      </c>
    </row>
    <row r="278" spans="1:1" ht="32.4">
      <c r="A278" s="9" t="s">
        <v>315</v>
      </c>
    </row>
    <row r="279" spans="1:1">
      <c r="A279" t="s">
        <v>316</v>
      </c>
    </row>
    <row r="280" spans="1:1" ht="31.8">
      <c r="A280" s="9" t="s">
        <v>135</v>
      </c>
    </row>
    <row r="281" spans="1:1">
      <c r="A281" t="s">
        <v>317</v>
      </c>
    </row>
    <row r="282" spans="1:1" ht="15">
      <c r="A282" s="8" t="s">
        <v>136</v>
      </c>
    </row>
    <row r="283" spans="1:1">
      <c r="A283" t="s">
        <v>318</v>
      </c>
    </row>
    <row r="284" spans="1:1">
      <c r="A284" t="s">
        <v>137</v>
      </c>
    </row>
    <row r="285" spans="1:1">
      <c r="A285" t="s">
        <v>319</v>
      </c>
    </row>
    <row r="286" spans="1:1">
      <c r="A286" t="s">
        <v>138</v>
      </c>
    </row>
    <row r="287" spans="1:1">
      <c r="A287" t="s">
        <v>320</v>
      </c>
    </row>
    <row r="288" spans="1:1">
      <c r="A288" t="s">
        <v>139</v>
      </c>
    </row>
    <row r="289" spans="1:1">
      <c r="A289" t="s">
        <v>140</v>
      </c>
    </row>
    <row r="290" spans="1:1">
      <c r="A290" t="s">
        <v>321</v>
      </c>
    </row>
    <row r="291" spans="1:1">
      <c r="A291" t="s">
        <v>322</v>
      </c>
    </row>
    <row r="292" spans="1:1">
      <c r="A292" t="s">
        <v>323</v>
      </c>
    </row>
    <row r="293" spans="1:1">
      <c r="A293" t="s">
        <v>141</v>
      </c>
    </row>
    <row r="294" spans="1:1">
      <c r="A294" t="s">
        <v>324</v>
      </c>
    </row>
    <row r="295" spans="1:1">
      <c r="A295" t="s">
        <v>325</v>
      </c>
    </row>
    <row r="296" spans="1:1">
      <c r="A296" t="s">
        <v>142</v>
      </c>
    </row>
    <row r="297" spans="1:1">
      <c r="A297" t="s">
        <v>326</v>
      </c>
    </row>
    <row r="298" spans="1:1">
      <c r="A298" t="s">
        <v>143</v>
      </c>
    </row>
    <row r="299" spans="1:1">
      <c r="A299" t="s">
        <v>144</v>
      </c>
    </row>
    <row r="300" spans="1:1" ht="15">
      <c r="A300" s="8" t="s">
        <v>145</v>
      </c>
    </row>
    <row r="301" spans="1:1">
      <c r="A301" t="s">
        <v>327</v>
      </c>
    </row>
    <row r="302" spans="1:1">
      <c r="A302" t="s">
        <v>328</v>
      </c>
    </row>
    <row r="303" spans="1:1" ht="113.4">
      <c r="A303" s="9" t="s">
        <v>329</v>
      </c>
    </row>
    <row r="304" spans="1:1" ht="97.2">
      <c r="A304" s="9" t="s">
        <v>330</v>
      </c>
    </row>
    <row r="305" spans="1:1" ht="145.80000000000001">
      <c r="A305" s="9" t="s">
        <v>331</v>
      </c>
    </row>
    <row r="306" spans="1:1" ht="48.6">
      <c r="A306" s="9" t="s">
        <v>332</v>
      </c>
    </row>
    <row r="307" spans="1:1">
      <c r="A307" t="s">
        <v>146</v>
      </c>
    </row>
    <row r="308" spans="1:1" ht="15">
      <c r="A308" s="8" t="s">
        <v>147</v>
      </c>
    </row>
    <row r="309" spans="1:1">
      <c r="A309" t="s">
        <v>148</v>
      </c>
    </row>
    <row r="310" spans="1:1">
      <c r="A310" t="s">
        <v>333</v>
      </c>
    </row>
    <row r="311" spans="1:1">
      <c r="A311" t="s">
        <v>149</v>
      </c>
    </row>
    <row r="312" spans="1:1">
      <c r="A312" t="s">
        <v>150</v>
      </c>
    </row>
    <row r="313" spans="1:1">
      <c r="A313" t="s">
        <v>334</v>
      </c>
    </row>
    <row r="314" spans="1:1">
      <c r="A314" t="s">
        <v>335</v>
      </c>
    </row>
    <row r="315" spans="1:1">
      <c r="A315" t="s">
        <v>336</v>
      </c>
    </row>
    <row r="316" spans="1:1" ht="15">
      <c r="A316" s="8" t="s">
        <v>151</v>
      </c>
    </row>
    <row r="317" spans="1:1">
      <c r="A317" t="s">
        <v>337</v>
      </c>
    </row>
    <row r="318" spans="1:1">
      <c r="A318" t="s">
        <v>152</v>
      </c>
    </row>
    <row r="319" spans="1:1" ht="16.2">
      <c r="A319" s="9" t="s">
        <v>153</v>
      </c>
    </row>
    <row r="320" spans="1:1">
      <c r="A320" t="s">
        <v>154</v>
      </c>
    </row>
    <row r="321" spans="1:1">
      <c r="A321" t="s">
        <v>155</v>
      </c>
    </row>
    <row r="322" spans="1:1" ht="45">
      <c r="A322" s="9" t="s">
        <v>156</v>
      </c>
    </row>
    <row r="323" spans="1:1">
      <c r="A323" t="s">
        <v>157</v>
      </c>
    </row>
    <row r="324" spans="1:1">
      <c r="A324" t="s">
        <v>158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cols>
    <col min="1" max="1" width="124.88671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C18" sqref="C18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5"/>
    </row>
    <row r="109" spans="1:1">
      <c r="A109" s="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6" customWidth="1"/>
    <col min="2" max="2" width="32.88671875" style="6" customWidth="1"/>
    <col min="3" max="3" width="41.44140625" style="6" customWidth="1"/>
    <col min="4" max="16384" width="8.88671875" style="6"/>
  </cols>
  <sheetData>
    <row r="1" spans="2:3">
      <c r="B1" s="6">
        <f>A1</f>
        <v>0</v>
      </c>
    </row>
    <row r="2" spans="2:3">
      <c r="C2" s="6">
        <f>A2</f>
        <v>0</v>
      </c>
    </row>
    <row r="3" spans="2:3">
      <c r="B3" s="6">
        <f>A3</f>
        <v>0</v>
      </c>
    </row>
    <row r="4" spans="2:3">
      <c r="C4" s="6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encn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2021-10-07T00:34:07Z</dcterms:modified>
</cp:coreProperties>
</file>