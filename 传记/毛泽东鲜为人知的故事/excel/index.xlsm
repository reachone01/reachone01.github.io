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75" i="12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<sst xmlns="http://schemas.openxmlformats.org/spreadsheetml/2006/main" count="287" uniqueCount="161">
  <si>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</si>
  <si>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</si>
  <si>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</si>
  <si>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</si>
  <si>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</si>
  <si>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</si>
  <si>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</si>
  <si>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</si>
  <si>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</si>
  <si>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</si>
  <si>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</si>
  <si>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</si>
  <si>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</si>
  <si>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</si>
  <si>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毛泽东：鲜为人知的故事</t>
  </si>
  <si>
    <t xml:space="preserve"> 一本注定要改变历史的书 摧毁中国制造之红色神话，张戎新书透穿毛泽东魔障！ </t>
  </si>
  <si>
    <t xml:space="preserve"> 著作者：张 戎(Jung Chang) &amp; 乔·哈利戴(Jon Halliday)     </t>
  </si>
  <si>
    <t xml:space="preserve"> 译 者：张戎 </t>
  </si>
  <si>
    <t xml:space="preserve"> 作者简介 4 </t>
  </si>
  <si>
    <t xml:space="preserve"> 中文版自序   4 </t>
  </si>
  <si>
    <t xml:space="preserve"> 内容提要 5</t>
  </si>
  <si>
    <t>1 走出韶山   8</t>
  </si>
  <si>
    <t>2 与共产党结缘    11</t>
  </si>
  <si>
    <t>3 温热的信仰者    17</t>
  </si>
  <si>
    <t>4 国民党内的大起大落  25</t>
  </si>
  <si>
    <t>5 秋收暴动：拐走起义武装   31</t>
  </si>
  <si>
    <t>6 制服朱德   39</t>
  </si>
  <si>
    <t>7 杨开慧之死 46</t>
  </si>
  <si>
    <t>8 “ 毛主席”：血染的顶子    53</t>
  </si>
  <si>
    <t>9 第一个红色中国  62</t>
  </si>
  <si>
    <t>10 从夺实权到丢实权   67</t>
  </si>
  <si>
    <t>11 长征前夕：毛泽东差点被扔掉  72</t>
  </si>
  <si>
    <t>12 长征之一：蒋介石放走共产党  78</t>
  </si>
  <si>
    <t>13 长征之二：躲避张国焘    83</t>
  </si>
  <si>
    <t>14 长征之三：独霸连接莫斯科之路 94</t>
  </si>
  <si>
    <t>15 刘志丹的命运   100</t>
  </si>
  <si>
    <t>17 西安事变之未：毛泽东杀蒋不成 108</t>
  </si>
  <si>
    <t>18 陕北的新生活   111</t>
  </si>
  <si>
    <t>19 红色代理人引发中日全面战争  117</t>
  </si>
  <si>
    <t>20 打政敌，打蒋介石，不打日本！ 123</t>
  </si>
  <si>
    <t>21 盼望苏日瓜分中国   129</t>
  </si>
  <si>
    <t>22 皖南事变：毛泽东设陷阱  134</t>
  </si>
  <si>
    <t>23 延安整风：靠恐怖建立权力基础 140</t>
  </si>
  <si>
    <t>24 给王明下毒 150</t>
  </si>
  <si>
    <t>25 当上中共的“斯大林”  157</t>
  </si>
  <si>
    <t>26 “ 革命的鸦片战争”   160</t>
  </si>
  <si>
    <t>27 苏联红军终于来了   164</t>
  </si>
  <si>
    <t>28 美国人救了中共 172</t>
  </si>
  <si>
    <t>29 蒋介石失去大陆 176</t>
  </si>
  <si>
    <t>30 赢得内战  184</t>
  </si>
  <si>
    <t>31 登基之初  191</t>
  </si>
  <si>
    <t>32 与斯大林较劲   197</t>
  </si>
  <si>
    <t>33 和大老板作交易 202</t>
  </si>
  <si>
    <t>34 毛泽东斯大林为什么要打朝鲜战争   208</t>
  </si>
  <si>
    <t>35 难发的战争“财” 212</t>
  </si>
  <si>
    <t>36 军事工业化的起步   220</t>
  </si>
  <si>
    <t>37 向农民开战 227</t>
  </si>
  <si>
    <t>38 打掉赫鲁晓夫的权威 235</t>
  </si>
  <si>
    <t>39 杀鸡儆猴的反右派运动    241</t>
  </si>
  <si>
    <t>40 大跃進：“中国非死一半人不可” 249</t>
  </si>
  <si>
    <t>41 国防部长彭德怀孤军奋战  256</t>
  </si>
  <si>
    <t>42 西藏的灾难 265</t>
  </si>
  <si>
    <t>43 “ 毛主义”登上世界舞台   269</t>
  </si>
  <si>
    <t>44 国家主席刘少奇的“突然袭击”   276</t>
  </si>
  <si>
    <t>45 有原子弹了！   283</t>
  </si>
  <si>
    <t>46 不安的岁月，受挫的岁月  286</t>
  </si>
  <si>
    <t>47 发动文革的一场讨价还价  296</t>
  </si>
  <si>
    <t>48 浩劫降临  302</t>
  </si>
  <si>
    <t>49 复仇  311</t>
  </si>
  <si>
    <t>50 新当权者  318</t>
  </si>
  <si>
    <t>51 玩火险些烧身   325</t>
  </si>
  <si>
    <t>52 和林彪翻脸 328</t>
  </si>
  <si>
    <t>53 树不起来的“毛主义”  336</t>
  </si>
  <si>
    <t>54 尼克松上鈎 345</t>
  </si>
  <si>
    <t>55 周恩来的下场   352</t>
  </si>
  <si>
    <t>56 江青在文革中   356</t>
  </si>
  <si>
    <t xml:space="preserve">58 最后的日子 372 </t>
  </si>
  <si>
    <t xml:space="preserve">谢辞 377      </t>
  </si>
  <si>
    <t xml:space="preserve">采访名单总览（电话：表示电话采访）  378 </t>
  </si>
  <si>
    <t xml:space="preserve">CONTENTS </t>
  </si>
  <si>
    <t>PART ONE—Lukewarm Believer</t>
  </si>
  <si>
    <t>1 On the Cusp from Ancient to Modern (1893–1911; age 1–17)</t>
  </si>
  <si>
    <t>2 Becoming a Communist (1911–20; age 17–26)</t>
  </si>
  <si>
    <t xml:space="preserve">3 Lukewarm Believer (1920–25; age 26–31) 4 Rise and Demise in the Nationalist Party (1925–27; age 31–33) </t>
  </si>
  <si>
    <t>PART TWO—Long March to Supremacy in the Party</t>
  </si>
  <si>
    <t>5 Hijacking a Red Force and Taking Over Bandit Land (1927–28; age 33–34)</t>
  </si>
  <si>
    <t>6 Subjugating the Red Army Supremo (1928–30; age 34–36)</t>
  </si>
  <si>
    <t>7 Takeover Leads to Death of Second Wife (1927–30; age 33–36)</t>
  </si>
  <si>
    <t>8 Bloody Purge Paves the Way for “Chairman Mao” (1929–31; age 35–37)</t>
  </si>
  <si>
    <t>9 Mao and the First Red State (1931–34; age 37–40)</t>
  </si>
  <si>
    <t>10 Troublemaker to Figurehead (1931–34; age 37–40)</t>
  </si>
  <si>
    <t>11 How Mao Got onto the Long March (1933–34; age 39–40)</t>
  </si>
  <si>
    <t xml:space="preserve">12 Long March I: Chiang Lets the Reds Go (1934; age 40 </t>
  </si>
  <si>
    <t>13 Long March II: The Power behind the Throne (1934–35; age 40–41)</t>
  </si>
  <si>
    <t xml:space="preserve">14 Long March III: Monopolizing the Moscow Connection (1935; age 41) </t>
  </si>
  <si>
    <t>PART THREE—Building His Power Base</t>
  </si>
  <si>
    <t>16 Chiang Kai-shek Kidnapped (1935–36; age 41–42)</t>
  </si>
  <si>
    <t>17 A National Player (1936; age 42–43)</t>
  </si>
  <si>
    <t>18 New Image, New Life and New Wife (1937–38; age 43–44)</t>
  </si>
  <si>
    <t>19 Red Mole Triggers China–Japan War (1937–38; age 43–44)</t>
  </si>
  <si>
    <t>20 Fight Rivals and Chiang—Not Japan (1937–40; age 43–46)</t>
  </si>
  <si>
    <t>21 Most Desired Scenario: Stalin Carves up China with Japan (1939–40; age 45–46)</t>
  </si>
  <si>
    <t>22 Death Trap for His Own Men (1940–41; age 46–47)</t>
  </si>
  <si>
    <t>23 Building a Power Base through Terror (1941–45; age 47–51)</t>
  </si>
  <si>
    <t>24 Uncowed Opponent Poisoned (1941–45; age 47–51)</t>
  </si>
  <si>
    <t xml:space="preserve">25 Supreme Party Leader at Last (1942–45; age 48–51) </t>
  </si>
  <si>
    <t>PART FOUR—To Conquer China</t>
  </si>
  <si>
    <t>26 “Revolutionary Opium War” (1937–45; age 43–51)</t>
  </si>
  <si>
    <t>27 The Russians Are Coming! (1945–46; age 51–52)</t>
  </si>
  <si>
    <t>28 Saved by Washington (1944–47; age 50–53)</t>
  </si>
  <si>
    <t>29 Moles, Betrayals and Poor Leadership Doom Chiang (1945–49; age 51–55)</t>
  </si>
  <si>
    <t>30 China Conquered (1946–49; age 52–55)</t>
  </si>
  <si>
    <t xml:space="preserve">31 Totalitarian State, Extravagant Lifestyle (1949–53; age 55–59) </t>
  </si>
  <si>
    <t>PART FIVE—Chasing a Superpower Dream</t>
  </si>
  <si>
    <t>32 Rivalry with Stalin (1947–49; age 53–55)</t>
  </si>
  <si>
    <t>33 Two Tyrants Wrestle (1949–50; age 55–56)</t>
  </si>
  <si>
    <t>34 Why Mao and Stalin Started the Korean War (1949–50; age 55–56)</t>
  </si>
  <si>
    <t>35 Mao Milks the Korean War (1950–53; age 56–59)</t>
  </si>
  <si>
    <t>36 Launching the Secret Superpower Program (1953–54; age 59–60)</t>
  </si>
  <si>
    <t>37 War on Peasants (1953–56; age 59–62)</t>
  </si>
  <si>
    <t>38 Undermining Khrushchev (1956–59; age 62–65)</t>
  </si>
  <si>
    <t>39 Killing the “Hundred Flowers” (1957–58; age 63–64)</t>
  </si>
  <si>
    <t>40 The Great Leap: “Half of China May Well Have to Die” (1958–61; age 64–67)</t>
  </si>
  <si>
    <t>42 The Tibetans Rebel (1950–61; age 56–67)</t>
  </si>
  <si>
    <t>43 Maoism Goes Global (1959–64; age 65–70)</t>
  </si>
  <si>
    <t>44 Ambushed by the President (1961–62; age 67–68)</t>
  </si>
  <si>
    <t>45 The Bomb (1962–64; age 68–70)</t>
  </si>
  <si>
    <t xml:space="preserve">46 A Time of Uncertainty and Setbacks (1962–65; age 68–71) </t>
  </si>
  <si>
    <t>PART SIX—Unsweet Revenge</t>
  </si>
  <si>
    <t>47 A Horse-trade Secures the Cultural Revolution (1965–66; age 71–72)</t>
  </si>
  <si>
    <t>48 The Great Purge (1966–67; age 72–73)</t>
  </si>
  <si>
    <t>49 Unsweet Revenge (1966–74; age 72–80)</t>
  </si>
  <si>
    <t>51 A War Scare (1969–71; age 75–77)</t>
  </si>
  <si>
    <t>52 Falling Out with Lin Biao (1970–71; age 76–77)</t>
  </si>
  <si>
    <t>53 Maoism Falls Flat on the World Stage (1966–70; age 72–76)</t>
  </si>
  <si>
    <t>54 Nixon: The Red-baiter Baited (1970–73; age 76–79)</t>
  </si>
  <si>
    <t>55 The Boss Denies Chou Cancer Treatment (1972–74; age 78–80)</t>
  </si>
  <si>
    <t>56 Mme Mao in the Cultural Revolution (1966–75; age 72–81)</t>
  </si>
  <si>
    <t>57 Enfeebled Mao Hedges His Bets (1973–76; age 79–82)</t>
  </si>
  <si>
    <t xml:space="preserve">58 Last Days (1974–76; age 80–82) </t>
  </si>
  <si>
    <t xml:space="preserve">Epilogue Acknowledgments </t>
  </si>
  <si>
    <t xml:space="preserve">List of Interviewees </t>
  </si>
  <si>
    <t xml:space="preserve">Archives Consulted Notes </t>
  </si>
  <si>
    <t xml:space="preserve">Bibliography of Chinese-language Sources </t>
  </si>
  <si>
    <t xml:space="preserve">Bibliography of Non-Chinese-language Sources </t>
  </si>
  <si>
    <t xml:space="preserve">Photo Insert </t>
  </si>
  <si>
    <t>15 The Timely Death of Mao's Host (1935–36; age 41–42)</t>
  </si>
  <si>
    <t>41 Defense Minister Peng's Lonely Battle (1958–59; age 64–65)</t>
  </si>
  <si>
    <t>50 The Chairman's New Outfit (1967–70; age 73–76)</t>
  </si>
  <si>
    <t>张戎 乔·哈利戴</t>
    <phoneticPr fontId="1" type="noConversion"/>
  </si>
  <si>
    <t>Jung Chang &amp; Jon Halliday</t>
    <phoneticPr fontId="1" type="noConversion"/>
  </si>
  <si>
    <t>1 On the Cusp from Ancient to Modern (1893–1911; age 1–17)</t>
    <phoneticPr fontId="1" type="noConversion"/>
  </si>
  <si>
    <t xml:space="preserve">3 Lukewarm Believer (1920–25; age 26–31) </t>
    <phoneticPr fontId="1" type="noConversion"/>
  </si>
  <si>
    <t xml:space="preserve">4 Rise and Demise in the Nationalist Party (1925–27; age 31–33) </t>
    <phoneticPr fontId="1" type="noConversion"/>
  </si>
  <si>
    <t>16 西安事变之始：张学良欲取蒋而代之</t>
    <phoneticPr fontId="1" type="noConversion"/>
  </si>
  <si>
    <t>56 江青在文革中   356</t>
    <phoneticPr fontId="1" type="noConversion"/>
  </si>
  <si>
    <t>57 邓小平迫毛让步</t>
    <phoneticPr fontId="1" type="noConversion"/>
  </si>
  <si>
    <t xml:space="preserve">译者：张戎 </t>
    <phoneticPr fontId="1" type="noConversion"/>
  </si>
  <si>
    <t xml:space="preserve">作者简介 4 </t>
    <phoneticPr fontId="1" type="noConversion"/>
  </si>
  <si>
    <t xml:space="preserve">中文版自序   4 </t>
    <phoneticPr fontId="1" type="noConversion"/>
  </si>
  <si>
    <t>内容提要 5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</si>
</sst>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75"/>
  <sheetViews>
    <sheetView tabSelected="1" topLeftCell="B1" zoomScale="90" zoomScaleNormal="90" workbookViewId="0">
      <selection activeCell="C1" sqref="C1:C75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 t="s">
        <v>79</v>
      </c>
      <c r="B1" s="2" t="s">
        <v>14</v>
      </c>
      <c r="C1" s="3" t="str">
        <f>CONCATENATE("&lt;div class='layout'&gt;&lt;p&gt;",A1,"&lt;/p&gt;","&lt;p&gt;",B1,"&lt;/p&gt;","&lt;/div&gt;")</f>
        <v>&lt;div class='layout'&gt;&lt;p&gt;CONTENTS &lt;/p&gt;&lt;p&gt;毛泽东：鲜为人知的故事&lt;/p&gt;&lt;/div&gt;</v>
      </c>
    </row>
    <row r="2" spans="1:3">
      <c r="A2" s="4" t="s">
        <v>150</v>
      </c>
      <c r="B2" s="2" t="s">
        <v>149</v>
      </c>
      <c r="C2" s="3" t="str">
        <f t="shared" ref="C2:C65" si="0">CONCATENATE("&lt;div class='layout'&gt;&lt;p&gt;",A2,"&lt;/p&gt;","&lt;p&gt;",B2,"&lt;/p&gt;","&lt;/div&gt;")</f>
        <v>&lt;div class='layout'&gt;&lt;p&gt;Jung Chang &amp; Jon Halliday&lt;/p&gt;&lt;p&gt;张戎 乔·哈利戴&lt;/p&gt;&lt;/div&gt;</v>
      </c>
    </row>
    <row r="3" spans="1:3">
      <c r="B3" s="2" t="s">
        <v>157</v>
      </c>
      <c r="C3" s="3" t="str">
        <f t="shared" si="0"/>
        <v>&lt;div class='layout'&gt;&lt;p&gt;&lt;/p&gt;&lt;p&gt;译者：张戎 &lt;/p&gt;&lt;/div&gt;</v>
      </c>
    </row>
    <row r="4" spans="1:3">
      <c r="B4" s="2" t="s">
        <v>158</v>
      </c>
      <c r="C4" s="3" t="str">
        <f t="shared" si="0"/>
        <v>&lt;div class='layout'&gt;&lt;p&gt;&lt;/p&gt;&lt;p&gt;作者简介 4 &lt;/p&gt;&lt;/div&gt;</v>
      </c>
    </row>
    <row r="5" spans="1:3">
      <c r="B5" s="2" t="s">
        <v>159</v>
      </c>
      <c r="C5" s="3" t="str">
        <f t="shared" si="0"/>
        <v>&lt;div class='layout'&gt;&lt;p&gt;&lt;/p&gt;&lt;p&gt;中文版自序   4 &lt;/p&gt;&lt;/div&gt;</v>
      </c>
    </row>
    <row r="6" spans="1:3">
      <c r="A6" s="4" t="s">
        <v>80</v>
      </c>
      <c r="B6" s="2" t="s">
        <v>160</v>
      </c>
      <c r="C6" s="3" t="str">
        <f t="shared" si="0"/>
        <v>&lt;div class='layout'&gt;&lt;p&gt;PART ONE—Lukewarm Believer&lt;/p&gt;&lt;p&gt;内容提要 5&lt;/p&gt;&lt;/div&gt;</v>
      </c>
    </row>
    <row r="7" spans="1:3" ht="34.799999999999997">
      <c r="A7" s="4" t="s">
        <v>151</v>
      </c>
      <c r="B7" s="2" t="s">
        <v>21</v>
      </c>
      <c r="C7" s="3" t="str">
        <f t="shared" si="0"/>
        <v>&lt;div class='layout'&gt;&lt;p&gt;1 On the Cusp from Ancient to Modern (1893–1911; age 1–17)&lt;/p&gt;&lt;p&gt;1 走出韶山   8&lt;/p&gt;&lt;/div&gt;</v>
      </c>
    </row>
    <row r="8" spans="1:3">
      <c r="A8" s="4" t="s">
        <v>82</v>
      </c>
      <c r="B8" s="2" t="s">
        <v>22</v>
      </c>
      <c r="C8" s="3" t="str">
        <f t="shared" si="0"/>
        <v>&lt;div class='layout'&gt;&lt;p&gt;2 Becoming a Communist (1911–20; age 17–26)&lt;/p&gt;&lt;p&gt;2 与共产党结缘    11&lt;/p&gt;&lt;/div&gt;</v>
      </c>
    </row>
    <row r="9" spans="1:3">
      <c r="A9" s="4" t="s">
        <v>152</v>
      </c>
      <c r="B9" s="2" t="s">
        <v>23</v>
      </c>
      <c r="C9" s="3" t="str">
        <f t="shared" si="0"/>
        <v>&lt;div class='layout'&gt;&lt;p&gt;3 Lukewarm Believer (1920–25; age 26–31) &lt;/p&gt;&lt;p&gt;3 温热的信仰者    17&lt;/p&gt;&lt;/div&gt;</v>
      </c>
    </row>
    <row r="10" spans="1:3" ht="34.799999999999997">
      <c r="A10" s="4" t="s">
        <v>153</v>
      </c>
      <c r="B10" s="2" t="s">
        <v>24</v>
      </c>
      <c r="C10" s="3" t="str">
        <f t="shared" si="0"/>
        <v>&lt;div class='layout'&gt;&lt;p&gt;4 Rise and Demise in the Nationalist Party (1925–27; age 31–33) &lt;/p&gt;&lt;p&gt;4 国民党内的大起大落  25&lt;/p&gt;&lt;/div&gt;</v>
      </c>
    </row>
    <row r="11" spans="1:3">
      <c r="A11" s="4" t="s">
        <v>84</v>
      </c>
      <c r="C11" s="3" t="str">
        <f t="shared" si="0"/>
        <v>&lt;div class='layout'&gt;&lt;p&gt;PART TWO—Long March to Supremacy in the Party&lt;/p&gt;&lt;p&gt;&lt;/p&gt;&lt;/div&gt;</v>
      </c>
    </row>
    <row r="12" spans="1:3" ht="34.799999999999997">
      <c r="A12" s="4" t="s">
        <v>85</v>
      </c>
      <c r="B12" s="2" t="s">
        <v>25</v>
      </c>
      <c r="C12" s="3" t="str">
        <f t="shared" si="0"/>
        <v>&lt;div class='layout'&gt;&lt;p&gt;5 Hijacking a Red Force and Taking Over Bandit Land (1927–28; age 33–34)&lt;/p&gt;&lt;p&gt;5 秋收暴动：拐走起义武装   31&lt;/p&gt;&lt;/div&gt;</v>
      </c>
    </row>
    <row r="13" spans="1:3">
      <c r="A13" s="4" t="s">
        <v>86</v>
      </c>
      <c r="B13" s="2" t="s">
        <v>26</v>
      </c>
      <c r="C13" s="3" t="str">
        <f t="shared" si="0"/>
        <v>&lt;div class='layout'&gt;&lt;p&gt;6 Subjugating the Red Army Supremo (1928–30; age 34–36)&lt;/p&gt;&lt;p&gt;6 制服朱德   39&lt;/p&gt;&lt;/div&gt;</v>
      </c>
    </row>
    <row r="14" spans="1:3" ht="34.799999999999997">
      <c r="A14" s="4" t="s">
        <v>87</v>
      </c>
      <c r="B14" s="2" t="s">
        <v>27</v>
      </c>
      <c r="C14" s="3" t="str">
        <f t="shared" si="0"/>
        <v>&lt;div class='layout'&gt;&lt;p&gt;7 Takeover Leads to Death of Second Wife (1927–30; age 33–36)&lt;/p&gt;&lt;p&gt;7 杨开慧之死 46&lt;/p&gt;&lt;/div&gt;</v>
      </c>
    </row>
    <row r="15" spans="1:3" ht="34.799999999999997">
      <c r="A15" s="4" t="s">
        <v>88</v>
      </c>
      <c r="B15" s="2" t="s">
        <v>28</v>
      </c>
      <c r="C15" s="3" t="str">
        <f t="shared" si="0"/>
        <v>&lt;div class='layout'&gt;&lt;p&gt;8 Bloody Purge Paves the Way for “Chairman Mao” (1929–31; age 35–37)&lt;/p&gt;&lt;p&gt;8 “ 毛主席”：血染的顶子    53&lt;/p&gt;&lt;/div&gt;</v>
      </c>
    </row>
    <row r="16" spans="1:3">
      <c r="A16" s="4" t="s">
        <v>89</v>
      </c>
      <c r="B16" s="2" t="s">
        <v>29</v>
      </c>
      <c r="C16" s="3" t="str">
        <f t="shared" si="0"/>
        <v>&lt;div class='layout'&gt;&lt;p&gt;9 Mao and the First Red State (1931–34; age 37–40)&lt;/p&gt;&lt;p&gt;9 第一个红色中国  62&lt;/p&gt;&lt;/div&gt;</v>
      </c>
    </row>
    <row r="17" spans="1:3">
      <c r="A17" s="4" t="s">
        <v>90</v>
      </c>
      <c r="B17" s="2" t="s">
        <v>30</v>
      </c>
      <c r="C17" s="3" t="str">
        <f t="shared" si="0"/>
        <v>&lt;div class='layout'&gt;&lt;p&gt;10 Troublemaker to Figurehead (1931–34; age 37–40)&lt;/p&gt;&lt;p&gt;10 从夺实权到丢实权   67&lt;/p&gt;&lt;/div&gt;</v>
      </c>
    </row>
    <row r="18" spans="1:3">
      <c r="A18" s="4" t="s">
        <v>91</v>
      </c>
      <c r="B18" s="2" t="s">
        <v>31</v>
      </c>
      <c r="C18" s="3" t="str">
        <f t="shared" si="0"/>
        <v>&lt;div class='layout'&gt;&lt;p&gt;11 How Mao Got onto the Long March (1933–34; age 39–40)&lt;/p&gt;&lt;p&gt;11 长征前夕：毛泽东差点被扔掉  72&lt;/p&gt;&lt;/div&gt;</v>
      </c>
    </row>
    <row r="19" spans="1:3">
      <c r="A19" s="4" t="s">
        <v>92</v>
      </c>
      <c r="B19" s="2" t="s">
        <v>32</v>
      </c>
      <c r="C19" s="3" t="str">
        <f t="shared" si="0"/>
        <v>&lt;div class='layout'&gt;&lt;p&gt;12 Long March I: Chiang Lets the Reds Go (1934; age 40 &lt;/p&gt;&lt;p&gt;12 长征之一：蒋介石放走共产党  78&lt;/p&gt;&lt;/div&gt;</v>
      </c>
    </row>
    <row r="20" spans="1:3" ht="34.799999999999997">
      <c r="A20" s="4" t="s">
        <v>93</v>
      </c>
      <c r="B20" s="2" t="s">
        <v>33</v>
      </c>
      <c r="C20" s="3" t="str">
        <f t="shared" si="0"/>
        <v>&lt;div class='layout'&gt;&lt;p&gt;13 Long March II: The Power behind the Throne (1934–35; age 40–41)&lt;/p&gt;&lt;p&gt;13 长征之二：躲避张国焘    83&lt;/p&gt;&lt;/div&gt;</v>
      </c>
    </row>
    <row r="21" spans="1:3" ht="34.799999999999997">
      <c r="A21" s="4" t="s">
        <v>94</v>
      </c>
      <c r="B21" s="2" t="s">
        <v>34</v>
      </c>
      <c r="C21" s="3" t="str">
        <f t="shared" si="0"/>
        <v>&lt;div class='layout'&gt;&lt;p&gt;14 Long March III: Monopolizing the Moscow Connection (1935; age 41) &lt;/p&gt;&lt;p&gt;14 长征之三：独霸连接莫斯科之路 94&lt;/p&gt;&lt;/div&gt;</v>
      </c>
    </row>
    <row r="22" spans="1:3">
      <c r="A22" s="4" t="s">
        <v>95</v>
      </c>
      <c r="C22" s="3" t="str">
        <f t="shared" si="0"/>
        <v>&lt;div class='layout'&gt;&lt;p&gt;PART THREE—Building His Power Base&lt;/p&gt;&lt;p&gt;&lt;/p&gt;&lt;/div&gt;</v>
      </c>
    </row>
    <row r="23" spans="1:3">
      <c r="A23" s="4" t="s">
        <v>146</v>
      </c>
      <c r="B23" s="2" t="s">
        <v>35</v>
      </c>
      <c r="C23" s="3" t="str">
        <f t="shared" si="0"/>
        <v>&lt;div class='layout'&gt;&lt;p&gt;15 The Timely Death of Mao's Host (1935–36; age 41–42)&lt;/p&gt;&lt;p&gt;15 刘志丹的命运   100&lt;/p&gt;&lt;/div&gt;</v>
      </c>
    </row>
    <row r="24" spans="1:3">
      <c r="A24" s="4" t="s">
        <v>96</v>
      </c>
      <c r="B24" s="2" t="s">
        <v>154</v>
      </c>
      <c r="C24" s="3" t="str">
        <f t="shared" si="0"/>
        <v>&lt;div class='layout'&gt;&lt;p&gt;16 Chiang Kai-shek Kidnapped (1935–36; age 41–42)&lt;/p&gt;&lt;p&gt;16 西安事变之始：张学良欲取蒋而代之&lt;/p&gt;&lt;/div&gt;</v>
      </c>
    </row>
    <row r="25" spans="1:3">
      <c r="A25" s="4" t="s">
        <v>97</v>
      </c>
      <c r="B25" s="2" t="s">
        <v>36</v>
      </c>
      <c r="C25" s="3" t="str">
        <f t="shared" si="0"/>
        <v>&lt;div class='layout'&gt;&lt;p&gt;17 A National Player (1936; age 42–43)&lt;/p&gt;&lt;p&gt;17 西安事变之未：毛泽东杀蒋不成 108&lt;/p&gt;&lt;/div&gt;</v>
      </c>
    </row>
    <row r="26" spans="1:3">
      <c r="A26" s="4" t="s">
        <v>98</v>
      </c>
      <c r="B26" s="2" t="s">
        <v>37</v>
      </c>
      <c r="C26" s="3" t="str">
        <f t="shared" si="0"/>
        <v>&lt;div class='layout'&gt;&lt;p&gt;18 New Image, New Life and New Wife (1937–38; age 43–44)&lt;/p&gt;&lt;p&gt;18 陕北的新生活   111&lt;/p&gt;&lt;/div&gt;</v>
      </c>
    </row>
    <row r="27" spans="1:3" ht="34.799999999999997">
      <c r="A27" s="4" t="s">
        <v>99</v>
      </c>
      <c r="B27" s="2" t="s">
        <v>38</v>
      </c>
      <c r="C27" s="3" t="str">
        <f t="shared" si="0"/>
        <v>&lt;div class='layout'&gt;&lt;p&gt;19 Red Mole Triggers China–Japan War (1937–38; age 43–44)&lt;/p&gt;&lt;p&gt;19 红色代理人引发中日全面战争  117&lt;/p&gt;&lt;/div&gt;</v>
      </c>
    </row>
    <row r="28" spans="1:3" ht="34.799999999999997">
      <c r="A28" s="4" t="s">
        <v>100</v>
      </c>
      <c r="B28" s="2" t="s">
        <v>39</v>
      </c>
      <c r="C28" s="3" t="str">
        <f t="shared" si="0"/>
        <v>&lt;div class='layout'&gt;&lt;p&gt;20 Fight Rivals and Chiang—Not Japan (1937–40; age 43–46)&lt;/p&gt;&lt;p&gt;20 打政敌，打蒋介石，不打日本！ 123&lt;/p&gt;&lt;/div&gt;</v>
      </c>
    </row>
    <row r="29" spans="1:3" ht="34.799999999999997">
      <c r="A29" s="4" t="s">
        <v>101</v>
      </c>
      <c r="B29" s="2" t="s">
        <v>40</v>
      </c>
      <c r="C29" s="3" t="str">
        <f t="shared" si="0"/>
        <v>&lt;div class='layout'&gt;&lt;p&gt;21 Most Desired Scenario: Stalin Carves up China with Japan (1939–40; age 45–46)&lt;/p&gt;&lt;p&gt;21 盼望苏日瓜分中国   129&lt;/p&gt;&lt;/div&gt;</v>
      </c>
    </row>
    <row r="30" spans="1:3">
      <c r="A30" s="4" t="s">
        <v>102</v>
      </c>
      <c r="B30" s="2" t="s">
        <v>41</v>
      </c>
      <c r="C30" s="3" t="str">
        <f t="shared" si="0"/>
        <v>&lt;div class='layout'&gt;&lt;p&gt;22 Death Trap for His Own Men (1940–41; age 46–47)&lt;/p&gt;&lt;p&gt;22 皖南事变：毛泽东设陷阱  134&lt;/p&gt;&lt;/div&gt;</v>
      </c>
    </row>
    <row r="31" spans="1:3" ht="34.799999999999997">
      <c r="A31" s="4" t="s">
        <v>103</v>
      </c>
      <c r="B31" s="2" t="s">
        <v>42</v>
      </c>
      <c r="C31" s="3" t="str">
        <f t="shared" si="0"/>
        <v>&lt;div class='layout'&gt;&lt;p&gt;23 Building a Power Base through Terror (1941–45; age 47–51)&lt;/p&gt;&lt;p&gt;23 延安整风：靠恐怖建立权力基础 140&lt;/p&gt;&lt;/div&gt;</v>
      </c>
    </row>
    <row r="32" spans="1:3">
      <c r="A32" s="4" t="s">
        <v>104</v>
      </c>
      <c r="B32" s="2" t="s">
        <v>43</v>
      </c>
      <c r="C32" s="3" t="str">
        <f t="shared" si="0"/>
        <v>&lt;div class='layout'&gt;&lt;p&gt;24 Uncowed Opponent Poisoned (1941–45; age 47–51)&lt;/p&gt;&lt;p&gt;24 给王明下毒 150&lt;/p&gt;&lt;/div&gt;</v>
      </c>
    </row>
    <row r="33" spans="1:3">
      <c r="A33" s="4" t="s">
        <v>105</v>
      </c>
      <c r="B33" s="2" t="s">
        <v>44</v>
      </c>
      <c r="C33" s="3" t="str">
        <f t="shared" si="0"/>
        <v>&lt;div class='layout'&gt;&lt;p&gt;25 Supreme Party Leader at Last (1942–45; age 48–51) &lt;/p&gt;&lt;p&gt;25 当上中共的“斯大林”  157&lt;/p&gt;&lt;/div&gt;</v>
      </c>
    </row>
    <row r="34" spans="1:3">
      <c r="A34" s="4" t="s">
        <v>106</v>
      </c>
      <c r="C34" s="3" t="str">
        <f t="shared" si="0"/>
        <v>&lt;div class='layout'&gt;&lt;p&gt;PART FOUR—To Conquer China&lt;/p&gt;&lt;p&gt;&lt;/p&gt;&lt;/div&gt;</v>
      </c>
    </row>
    <row r="35" spans="1:3">
      <c r="A35" s="4" t="s">
        <v>107</v>
      </c>
      <c r="B35" s="2" t="s">
        <v>45</v>
      </c>
      <c r="C35" s="3" t="str">
        <f t="shared" si="0"/>
        <v>&lt;div class='layout'&gt;&lt;p&gt;26 “Revolutionary Opium War” (1937–45; age 43–51)&lt;/p&gt;&lt;p&gt;26 “ 革命的鸦片战争”   160&lt;/p&gt;&lt;/div&gt;</v>
      </c>
    </row>
    <row r="36" spans="1:3">
      <c r="A36" s="4" t="s">
        <v>108</v>
      </c>
      <c r="B36" s="2" t="s">
        <v>46</v>
      </c>
      <c r="C36" s="3" t="str">
        <f t="shared" si="0"/>
        <v>&lt;div class='layout'&gt;&lt;p&gt;27 The Russians Are Coming! (1945–46; age 51–52)&lt;/p&gt;&lt;p&gt;27 苏联红军终于来了   164&lt;/p&gt;&lt;/div&gt;</v>
      </c>
    </row>
    <row r="37" spans="1:3">
      <c r="A37" s="4" t="s">
        <v>109</v>
      </c>
      <c r="B37" s="2" t="s">
        <v>47</v>
      </c>
      <c r="C37" s="3" t="str">
        <f t="shared" si="0"/>
        <v>&lt;div class='layout'&gt;&lt;p&gt;28 Saved by Washington (1944–47; age 50–53)&lt;/p&gt;&lt;p&gt;28 美国人救了中共 172&lt;/p&gt;&lt;/div&gt;</v>
      </c>
    </row>
    <row r="38" spans="1:3" ht="34.799999999999997">
      <c r="A38" s="4" t="s">
        <v>110</v>
      </c>
      <c r="B38" s="2" t="s">
        <v>48</v>
      </c>
      <c r="C38" s="3" t="str">
        <f t="shared" si="0"/>
        <v>&lt;div class='layout'&gt;&lt;p&gt;29 Moles, Betrayals and Poor Leadership Doom Chiang (1945–49; age 51–55)&lt;/p&gt;&lt;p&gt;29 蒋介石失去大陆 176&lt;/p&gt;&lt;/div&gt;</v>
      </c>
    </row>
    <row r="39" spans="1:3">
      <c r="A39" s="4" t="s">
        <v>111</v>
      </c>
      <c r="B39" s="2" t="s">
        <v>49</v>
      </c>
      <c r="C39" s="3" t="str">
        <f t="shared" si="0"/>
        <v>&lt;div class='layout'&gt;&lt;p&gt;30 China Conquered (1946–49; age 52–55)&lt;/p&gt;&lt;p&gt;30 赢得内战  184&lt;/p&gt;&lt;/div&gt;</v>
      </c>
    </row>
    <row r="40" spans="1:3" ht="34.799999999999997">
      <c r="A40" s="4" t="s">
        <v>112</v>
      </c>
      <c r="B40" s="2" t="s">
        <v>50</v>
      </c>
      <c r="C40" s="3" t="str">
        <f t="shared" si="0"/>
        <v>&lt;div class='layout'&gt;&lt;p&gt;31 Totalitarian State, Extravagant Lifestyle (1949–53; age 55–59) &lt;/p&gt;&lt;p&gt;31 登基之初  191&lt;/p&gt;&lt;/div&gt;</v>
      </c>
    </row>
    <row r="41" spans="1:3">
      <c r="A41" s="4" t="s">
        <v>113</v>
      </c>
      <c r="C41" s="3" t="str">
        <f t="shared" si="0"/>
        <v>&lt;div class='layout'&gt;&lt;p&gt;PART FIVE—Chasing a Superpower Dream&lt;/p&gt;&lt;p&gt;&lt;/p&gt;&lt;/div&gt;</v>
      </c>
    </row>
    <row r="42" spans="1:3">
      <c r="A42" s="4" t="s">
        <v>114</v>
      </c>
      <c r="B42" s="2" t="s">
        <v>51</v>
      </c>
      <c r="C42" s="3" t="str">
        <f t="shared" si="0"/>
        <v>&lt;div class='layout'&gt;&lt;p&gt;32 Rivalry with Stalin (1947–49; age 53–55)&lt;/p&gt;&lt;p&gt;32 与斯大林较劲   197&lt;/p&gt;&lt;/div&gt;</v>
      </c>
    </row>
    <row r="43" spans="1:3">
      <c r="A43" s="4" t="s">
        <v>115</v>
      </c>
      <c r="B43" s="2" t="s">
        <v>52</v>
      </c>
      <c r="C43" s="3" t="str">
        <f t="shared" si="0"/>
        <v>&lt;div class='layout'&gt;&lt;p&gt;33 Two Tyrants Wrestle (1949–50; age 55–56)&lt;/p&gt;&lt;p&gt;33 和大老板作交易 202&lt;/p&gt;&lt;/div&gt;</v>
      </c>
    </row>
    <row r="44" spans="1:3" ht="34.799999999999997">
      <c r="A44" s="4" t="s">
        <v>116</v>
      </c>
      <c r="B44" s="2" t="s">
        <v>53</v>
      </c>
      <c r="C44" s="3" t="str">
        <f t="shared" si="0"/>
        <v>&lt;div class='layout'&gt;&lt;p&gt;34 Why Mao and Stalin Started the Korean War (1949–50; age 55–56)&lt;/p&gt;&lt;p&gt;34 毛泽东斯大林为什么要打朝鲜战争   208&lt;/p&gt;&lt;/div&gt;</v>
      </c>
    </row>
    <row r="45" spans="1:3">
      <c r="A45" s="4" t="s">
        <v>117</v>
      </c>
      <c r="B45" s="2" t="s">
        <v>54</v>
      </c>
      <c r="C45" s="3" t="str">
        <f t="shared" si="0"/>
        <v>&lt;div class='layout'&gt;&lt;p&gt;35 Mao Milks the Korean War (1950–53; age 56–59)&lt;/p&gt;&lt;p&gt;35 难发的战争“财” 212&lt;/p&gt;&lt;/div&gt;</v>
      </c>
    </row>
    <row r="46" spans="1:3" ht="34.799999999999997">
      <c r="A46" s="4" t="s">
        <v>118</v>
      </c>
      <c r="B46" s="2" t="s">
        <v>55</v>
      </c>
      <c r="C46" s="3" t="str">
        <f t="shared" si="0"/>
        <v>&lt;div class='layout'&gt;&lt;p&gt;36 Launching the Secret Superpower Program (1953–54; age 59–60)&lt;/p&gt;&lt;p&gt;36 军事工业化的起步   220&lt;/p&gt;&lt;/div&gt;</v>
      </c>
    </row>
    <row r="47" spans="1:3">
      <c r="A47" s="4" t="s">
        <v>119</v>
      </c>
      <c r="B47" s="2" t="s">
        <v>56</v>
      </c>
      <c r="C47" s="3" t="str">
        <f t="shared" si="0"/>
        <v>&lt;div class='layout'&gt;&lt;p&gt;37 War on Peasants (1953–56; age 59–62)&lt;/p&gt;&lt;p&gt;37 向农民开战 227&lt;/p&gt;&lt;/div&gt;</v>
      </c>
    </row>
    <row r="48" spans="1:3">
      <c r="A48" s="4" t="s">
        <v>120</v>
      </c>
      <c r="B48" s="2" t="s">
        <v>57</v>
      </c>
      <c r="C48" s="3" t="str">
        <f t="shared" si="0"/>
        <v>&lt;div class='layout'&gt;&lt;p&gt;38 Undermining Khrushchev (1956–59; age 62–65)&lt;/p&gt;&lt;p&gt;38 打掉赫鲁晓夫的权威 235&lt;/p&gt;&lt;/div&gt;</v>
      </c>
    </row>
    <row r="49" spans="1:3">
      <c r="A49" s="4" t="s">
        <v>121</v>
      </c>
      <c r="B49" s="2" t="s">
        <v>58</v>
      </c>
      <c r="C49" s="3" t="str">
        <f t="shared" si="0"/>
        <v>&lt;div class='layout'&gt;&lt;p&gt;39 Killing the “Hundred Flowers” (1957–58; age 63–64)&lt;/p&gt;&lt;p&gt;39 杀鸡儆猴的反右派运动    241&lt;/p&gt;&lt;/div&gt;</v>
      </c>
    </row>
    <row r="50" spans="1:3" ht="34.799999999999997">
      <c r="A50" s="4" t="s">
        <v>122</v>
      </c>
      <c r="B50" s="2" t="s">
        <v>59</v>
      </c>
      <c r="C50" s="3" t="str">
        <f t="shared" si="0"/>
        <v>&lt;div class='layout'&gt;&lt;p&gt;40 The Great Leap: “Half of China May Well Have to Die” (1958–61; age 64–67)&lt;/p&gt;&lt;p&gt;40 大跃進：“中国非死一半人不可” 249&lt;/p&gt;&lt;/div&gt;</v>
      </c>
    </row>
    <row r="51" spans="1:3" ht="34.799999999999997">
      <c r="A51" s="4" t="s">
        <v>147</v>
      </c>
      <c r="B51" s="2" t="s">
        <v>60</v>
      </c>
      <c r="C51" s="3" t="str">
        <f t="shared" si="0"/>
        <v>&lt;div class='layout'&gt;&lt;p&gt;41 Defense Minister Peng's Lonely Battle (1958–59; age 64–65)&lt;/p&gt;&lt;p&gt;41 国防部长彭德怀孤军奋战  256&lt;/p&gt;&lt;/div&gt;</v>
      </c>
    </row>
    <row r="52" spans="1:3">
      <c r="A52" s="4" t="s">
        <v>123</v>
      </c>
      <c r="B52" s="2" t="s">
        <v>61</v>
      </c>
      <c r="C52" s="3" t="str">
        <f t="shared" si="0"/>
        <v>&lt;div class='layout'&gt;&lt;p&gt;42 The Tibetans Rebel (1950–61; age 56–67)&lt;/p&gt;&lt;p&gt;42 西藏的灾难 265&lt;/p&gt;&lt;/div&gt;</v>
      </c>
    </row>
    <row r="53" spans="1:3">
      <c r="A53" s="4" t="s">
        <v>124</v>
      </c>
      <c r="B53" s="2" t="s">
        <v>62</v>
      </c>
      <c r="C53" s="3" t="str">
        <f t="shared" si="0"/>
        <v>&lt;div class='layout'&gt;&lt;p&gt;43 Maoism Goes Global (1959–64; age 65–70)&lt;/p&gt;&lt;p&gt;43 “ 毛主义”登上世界舞台   269&lt;/p&gt;&lt;/div&gt;</v>
      </c>
    </row>
    <row r="54" spans="1:3">
      <c r="A54" s="4" t="s">
        <v>125</v>
      </c>
      <c r="B54" s="2" t="s">
        <v>63</v>
      </c>
      <c r="C54" s="3" t="str">
        <f t="shared" si="0"/>
        <v>&lt;div class='layout'&gt;&lt;p&gt;44 Ambushed by the President (1961–62; age 67–68)&lt;/p&gt;&lt;p&gt;44 国家主席刘少奇的“突然袭击”   276&lt;/p&gt;&lt;/div&gt;</v>
      </c>
    </row>
    <row r="55" spans="1:3">
      <c r="A55" s="4" t="s">
        <v>126</v>
      </c>
      <c r="B55" s="2" t="s">
        <v>64</v>
      </c>
      <c r="C55" s="3" t="str">
        <f t="shared" si="0"/>
        <v>&lt;div class='layout'&gt;&lt;p&gt;45 The Bomb (1962–64; age 68–70)&lt;/p&gt;&lt;p&gt;45 有原子弹了！   283&lt;/p&gt;&lt;/div&gt;</v>
      </c>
    </row>
    <row r="56" spans="1:3" ht="34.799999999999997">
      <c r="A56" s="4" t="s">
        <v>127</v>
      </c>
      <c r="B56" s="2" t="s">
        <v>65</v>
      </c>
      <c r="C56" s="3" t="str">
        <f t="shared" si="0"/>
        <v>&lt;div class='layout'&gt;&lt;p&gt;46 A Time of Uncertainty and Setbacks (1962–65; age 68–71) &lt;/p&gt;&lt;p&gt;46 不安的岁月，受挫的岁月  286&lt;/p&gt;&lt;/div&gt;</v>
      </c>
    </row>
    <row r="57" spans="1:3">
      <c r="A57" s="4" t="s">
        <v>128</v>
      </c>
      <c r="C57" s="3" t="str">
        <f t="shared" si="0"/>
        <v>&lt;div class='layout'&gt;&lt;p&gt;PART SIX—Unsweet Revenge&lt;/p&gt;&lt;p&gt;&lt;/p&gt;&lt;/div&gt;</v>
      </c>
    </row>
    <row r="58" spans="1:3" ht="34.799999999999997">
      <c r="A58" s="4" t="s">
        <v>129</v>
      </c>
      <c r="B58" s="2" t="s">
        <v>66</v>
      </c>
      <c r="C58" s="3" t="str">
        <f t="shared" si="0"/>
        <v>&lt;div class='layout'&gt;&lt;p&gt;47 A Horse-trade Secures the Cultural Revolution (1965–66; age 71–72)&lt;/p&gt;&lt;p&gt;47 发动文革的一场讨价还价  296&lt;/p&gt;&lt;/div&gt;</v>
      </c>
    </row>
    <row r="59" spans="1:3">
      <c r="A59" s="4" t="s">
        <v>130</v>
      </c>
      <c r="B59" s="2" t="s">
        <v>67</v>
      </c>
      <c r="C59" s="3" t="str">
        <f t="shared" si="0"/>
        <v>&lt;div class='layout'&gt;&lt;p&gt;48 The Great Purge (1966–67; age 72–73)&lt;/p&gt;&lt;p&gt;48 浩劫降临  302&lt;/p&gt;&lt;/div&gt;</v>
      </c>
    </row>
    <row r="60" spans="1:3">
      <c r="A60" s="4" t="s">
        <v>131</v>
      </c>
      <c r="B60" s="2" t="s">
        <v>68</v>
      </c>
      <c r="C60" s="3" t="str">
        <f t="shared" si="0"/>
        <v>&lt;div class='layout'&gt;&lt;p&gt;49 Unsweet Revenge (1966–74; age 72–80)&lt;/p&gt;&lt;p&gt;49 复仇  311&lt;/p&gt;&lt;/div&gt;</v>
      </c>
    </row>
    <row r="61" spans="1:3">
      <c r="A61" s="4" t="s">
        <v>148</v>
      </c>
      <c r="B61" s="2" t="s">
        <v>69</v>
      </c>
      <c r="C61" s="3" t="str">
        <f t="shared" si="0"/>
        <v>&lt;div class='layout'&gt;&lt;p&gt;50 The Chairman's New Outfit (1967–70; age 73–76)&lt;/p&gt;&lt;p&gt;50 新当权者  318&lt;/p&gt;&lt;/div&gt;</v>
      </c>
    </row>
    <row r="62" spans="1:3">
      <c r="A62" s="4" t="s">
        <v>132</v>
      </c>
      <c r="B62" s="2" t="s">
        <v>70</v>
      </c>
      <c r="C62" s="3" t="str">
        <f t="shared" si="0"/>
        <v>&lt;div class='layout'&gt;&lt;p&gt;51 A War Scare (1969–71; age 75–77)&lt;/p&gt;&lt;p&gt;51 玩火险些烧身   325&lt;/p&gt;&lt;/div&gt;</v>
      </c>
    </row>
    <row r="63" spans="1:3">
      <c r="A63" s="4" t="s">
        <v>133</v>
      </c>
      <c r="B63" s="2" t="s">
        <v>71</v>
      </c>
      <c r="C63" s="3" t="str">
        <f t="shared" si="0"/>
        <v>&lt;div class='layout'&gt;&lt;p&gt;52 Falling Out with Lin Biao (1970–71; age 76–77)&lt;/p&gt;&lt;p&gt;52 和林彪翻脸 328&lt;/p&gt;&lt;/div&gt;</v>
      </c>
    </row>
    <row r="64" spans="1:3" ht="34.799999999999997">
      <c r="A64" s="4" t="s">
        <v>134</v>
      </c>
      <c r="B64" s="2" t="s">
        <v>72</v>
      </c>
      <c r="C64" s="3" t="str">
        <f t="shared" si="0"/>
        <v>&lt;div class='layout'&gt;&lt;p&gt;53 Maoism Falls Flat on the World Stage (1966–70; age 72–76)&lt;/p&gt;&lt;p&gt;53 树不起来的“毛主义”  336&lt;/p&gt;&lt;/div&gt;</v>
      </c>
    </row>
    <row r="65" spans="1:3">
      <c r="A65" s="4" t="s">
        <v>135</v>
      </c>
      <c r="B65" s="2" t="s">
        <v>73</v>
      </c>
      <c r="C65" s="3" t="str">
        <f t="shared" si="0"/>
        <v>&lt;div class='layout'&gt;&lt;p&gt;54 Nixon: The Red-baiter Baited (1970–73; age 76–79)&lt;/p&gt;&lt;p&gt;54 尼克松上鈎 345&lt;/p&gt;&lt;/div&gt;</v>
      </c>
    </row>
    <row r="66" spans="1:3" ht="34.799999999999997">
      <c r="A66" s="4" t="s">
        <v>136</v>
      </c>
      <c r="B66" s="2" t="s">
        <v>74</v>
      </c>
      <c r="C66" s="3" t="str">
        <f t="shared" ref="C66:C75" si="1">CONCATENATE("&lt;div class='layout'&gt;&lt;p&gt;",A66,"&lt;/p&gt;","&lt;p&gt;",B66,"&lt;/p&gt;","&lt;/div&gt;")</f>
        <v>&lt;div class='layout'&gt;&lt;p&gt;55 The Boss Denies Chou Cancer Treatment (1972–74; age 78–80)&lt;/p&gt;&lt;p&gt;55 周恩来的下场   352&lt;/p&gt;&lt;/div&gt;</v>
      </c>
    </row>
    <row r="67" spans="1:3" ht="34.799999999999997">
      <c r="A67" s="4" t="s">
        <v>137</v>
      </c>
      <c r="B67" s="2" t="s">
        <v>155</v>
      </c>
      <c r="C67" s="3" t="str">
        <f t="shared" si="1"/>
        <v>&lt;div class='layout'&gt;&lt;p&gt;56 Mme Mao in the Cultural Revolution (1966–75; age 72–81)&lt;/p&gt;&lt;p&gt;56 江青在文革中   356&lt;/p&gt;&lt;/div&gt;</v>
      </c>
    </row>
    <row r="68" spans="1:3">
      <c r="A68" s="4" t="s">
        <v>138</v>
      </c>
      <c r="B68" s="2" t="s">
        <v>156</v>
      </c>
      <c r="C68" s="3" t="str">
        <f t="shared" si="1"/>
        <v>&lt;div class='layout'&gt;&lt;p&gt;57 Enfeebled Mao Hedges His Bets (1973–76; age 79–82)&lt;/p&gt;&lt;p&gt;57 邓小平迫毛让步&lt;/p&gt;&lt;/div&gt;</v>
      </c>
    </row>
    <row r="69" spans="1:3">
      <c r="A69" s="4" t="s">
        <v>139</v>
      </c>
      <c r="B69" s="2" t="s">
        <v>76</v>
      </c>
      <c r="C69" s="3" t="str">
        <f t="shared" si="1"/>
        <v>&lt;div class='layout'&gt;&lt;p&gt;58 Last Days (1974–76; age 80–82) &lt;/p&gt;&lt;p&gt;58 最后的日子 372 &lt;/p&gt;&lt;/div&gt;</v>
      </c>
    </row>
    <row r="70" spans="1:3">
      <c r="A70" s="4" t="s">
        <v>140</v>
      </c>
      <c r="B70" s="2" t="s">
        <v>77</v>
      </c>
      <c r="C70" s="3" t="str">
        <f t="shared" si="1"/>
        <v>&lt;div class='layout'&gt;&lt;p&gt;Epilogue Acknowledgments &lt;/p&gt;&lt;p&gt;谢辞 377      &lt;/p&gt;&lt;/div&gt;</v>
      </c>
    </row>
    <row r="71" spans="1:3">
      <c r="A71" s="4" t="s">
        <v>141</v>
      </c>
      <c r="B71" s="2" t="s">
        <v>78</v>
      </c>
      <c r="C71" s="3" t="str">
        <f t="shared" si="1"/>
        <v>&lt;div class='layout'&gt;&lt;p&gt;List of Interviewees &lt;/p&gt;&lt;p&gt;采访名单总览（电话：表示电话采访）  378 &lt;/p&gt;&lt;/div&gt;</v>
      </c>
    </row>
    <row r="72" spans="1:3">
      <c r="A72" s="4" t="s">
        <v>142</v>
      </c>
      <c r="C72" s="3" t="str">
        <f t="shared" si="1"/>
        <v>&lt;div class='layout'&gt;&lt;p&gt;Archives Consulted Notes &lt;/p&gt;&lt;p&gt;&lt;/p&gt;&lt;/div&gt;</v>
      </c>
    </row>
    <row r="73" spans="1:3">
      <c r="A73" s="4" t="s">
        <v>143</v>
      </c>
      <c r="C73" s="3" t="str">
        <f t="shared" si="1"/>
        <v>&lt;div class='layout'&gt;&lt;p&gt;Bibliography of Chinese-language Sources &lt;/p&gt;&lt;p&gt;&lt;/p&gt;&lt;/div&gt;</v>
      </c>
    </row>
    <row r="74" spans="1:3">
      <c r="A74" s="4" t="s">
        <v>144</v>
      </c>
      <c r="C74" s="3" t="str">
        <f t="shared" si="1"/>
        <v>&lt;div class='layout'&gt;&lt;p&gt;Bibliography of Non-Chinese-language Sources &lt;/p&gt;&lt;p&gt;&lt;/p&gt;&lt;/div&gt;</v>
      </c>
    </row>
    <row r="75" spans="1:3">
      <c r="A75" s="4" t="s">
        <v>145</v>
      </c>
      <c r="C75" s="3" t="str">
        <f t="shared" si="1"/>
        <v>&lt;div class='layout'&gt;&lt;p&gt;Photo Insert 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70"/>
  <sheetViews>
    <sheetView workbookViewId="0"/>
  </sheetViews>
  <sheetFormatPr defaultRowHeight="14.4"/>
  <cols>
    <col min="1" max="1" width="125" customWidth="1"/>
  </cols>
  <sheetData>
    <row r="1" spans="1:1">
      <c r="A1" t="s">
        <v>79</v>
      </c>
    </row>
    <row r="2" spans="1:1">
      <c r="A2" t="s">
        <v>80</v>
      </c>
    </row>
    <row r="3" spans="1:1">
      <c r="A3" t="s">
        <v>81</v>
      </c>
    </row>
    <row r="4" spans="1:1">
      <c r="A4" t="s">
        <v>82</v>
      </c>
    </row>
    <row r="5" spans="1:1">
      <c r="A5" t="s">
        <v>83</v>
      </c>
    </row>
    <row r="6" spans="1:1">
      <c r="A6" t="s">
        <v>84</v>
      </c>
    </row>
    <row r="7" spans="1:1">
      <c r="A7" t="s">
        <v>85</v>
      </c>
    </row>
    <row r="8" spans="1:1">
      <c r="A8" s="5" t="s">
        <v>86</v>
      </c>
    </row>
    <row r="9" spans="1:1">
      <c r="A9" t="s">
        <v>87</v>
      </c>
    </row>
    <row r="10" spans="1:1">
      <c r="A10" t="s">
        <v>88</v>
      </c>
    </row>
    <row r="11" spans="1:1">
      <c r="A11" t="s">
        <v>89</v>
      </c>
    </row>
    <row r="12" spans="1:1">
      <c r="A12" t="s">
        <v>90</v>
      </c>
    </row>
    <row r="13" spans="1:1">
      <c r="A13" s="5" t="s">
        <v>91</v>
      </c>
    </row>
    <row r="14" spans="1:1">
      <c r="A14" t="s">
        <v>92</v>
      </c>
    </row>
    <row r="15" spans="1:1">
      <c r="A15" t="s">
        <v>93</v>
      </c>
    </row>
    <row r="16" spans="1:1">
      <c r="A16" t="s">
        <v>94</v>
      </c>
    </row>
    <row r="17" spans="1:1">
      <c r="A17" s="5" t="s">
        <v>95</v>
      </c>
    </row>
    <row r="18" spans="1:1">
      <c r="A18" t="s">
        <v>146</v>
      </c>
    </row>
    <row r="19" spans="1:1">
      <c r="A19" t="s">
        <v>96</v>
      </c>
    </row>
    <row r="20" spans="1:1">
      <c r="A20" s="5" t="s">
        <v>97</v>
      </c>
    </row>
    <row r="21" spans="1:1">
      <c r="A21" s="5" t="s">
        <v>98</v>
      </c>
    </row>
    <row r="22" spans="1:1">
      <c r="A22" t="s">
        <v>99</v>
      </c>
    </row>
    <row r="23" spans="1:1">
      <c r="A23" s="5" t="s">
        <v>100</v>
      </c>
    </row>
    <row r="24" spans="1:1">
      <c r="A24" t="s">
        <v>101</v>
      </c>
    </row>
    <row r="25" spans="1:1">
      <c r="A25" t="s">
        <v>102</v>
      </c>
    </row>
    <row r="26" spans="1:1">
      <c r="A26" t="s">
        <v>103</v>
      </c>
    </row>
    <row r="27" spans="1:1">
      <c r="A27" t="s">
        <v>104</v>
      </c>
    </row>
    <row r="28" spans="1:1">
      <c r="A28" t="s">
        <v>105</v>
      </c>
    </row>
    <row r="29" spans="1:1">
      <c r="A29" t="s">
        <v>106</v>
      </c>
    </row>
    <row r="30" spans="1:1">
      <c r="A30" t="s">
        <v>107</v>
      </c>
    </row>
    <row r="31" spans="1:1">
      <c r="A31" s="5" t="s">
        <v>108</v>
      </c>
    </row>
    <row r="32" spans="1:1">
      <c r="A32" t="s">
        <v>109</v>
      </c>
    </row>
    <row r="33" spans="1:1">
      <c r="A33" t="s">
        <v>110</v>
      </c>
    </row>
    <row r="34" spans="1:1">
      <c r="A34" t="s">
        <v>111</v>
      </c>
    </row>
    <row r="35" spans="1:1">
      <c r="A35" t="s">
        <v>112</v>
      </c>
    </row>
    <row r="36" spans="1:1">
      <c r="A36" t="s">
        <v>113</v>
      </c>
    </row>
    <row r="37" spans="1:1">
      <c r="A37" t="s">
        <v>114</v>
      </c>
    </row>
    <row r="38" spans="1:1">
      <c r="A38" t="s">
        <v>115</v>
      </c>
    </row>
    <row r="39" spans="1:1">
      <c r="A39" t="s">
        <v>116</v>
      </c>
    </row>
    <row r="40" spans="1:1">
      <c r="A40" s="5" t="s">
        <v>117</v>
      </c>
    </row>
    <row r="41" spans="1:1">
      <c r="A41" t="s">
        <v>118</v>
      </c>
    </row>
    <row r="42" spans="1:1">
      <c r="A42" t="s">
        <v>119</v>
      </c>
    </row>
    <row r="43" spans="1:1">
      <c r="A43" t="s">
        <v>120</v>
      </c>
    </row>
    <row r="44" spans="1:1">
      <c r="A44" t="s">
        <v>121</v>
      </c>
    </row>
    <row r="45" spans="1:1">
      <c r="A45" t="s">
        <v>122</v>
      </c>
    </row>
    <row r="46" spans="1:1">
      <c r="A46" t="s">
        <v>147</v>
      </c>
    </row>
    <row r="47" spans="1:1">
      <c r="A47" t="s">
        <v>123</v>
      </c>
    </row>
    <row r="48" spans="1:1">
      <c r="A48" t="s">
        <v>124</v>
      </c>
    </row>
    <row r="49" spans="1:1">
      <c r="A49" t="s">
        <v>125</v>
      </c>
    </row>
    <row r="50" spans="1:1">
      <c r="A50" s="5" t="s">
        <v>126</v>
      </c>
    </row>
    <row r="51" spans="1:1">
      <c r="A51" t="s">
        <v>127</v>
      </c>
    </row>
    <row r="52" spans="1:1">
      <c r="A52" t="s">
        <v>128</v>
      </c>
    </row>
    <row r="53" spans="1:1">
      <c r="A53" s="5" t="s">
        <v>129</v>
      </c>
    </row>
    <row r="54" spans="1:1">
      <c r="A54" t="s">
        <v>130</v>
      </c>
    </row>
    <row r="55" spans="1:1">
      <c r="A55" t="s">
        <v>131</v>
      </c>
    </row>
    <row r="56" spans="1:1">
      <c r="A56" t="s">
        <v>148</v>
      </c>
    </row>
    <row r="57" spans="1:1">
      <c r="A57" t="s">
        <v>132</v>
      </c>
    </row>
    <row r="58" spans="1:1">
      <c r="A58" t="s">
        <v>133</v>
      </c>
    </row>
    <row r="59" spans="1:1">
      <c r="A59" t="s">
        <v>134</v>
      </c>
    </row>
    <row r="60" spans="1:1">
      <c r="A60" t="s">
        <v>135</v>
      </c>
    </row>
    <row r="61" spans="1:1">
      <c r="A61" t="s">
        <v>136</v>
      </c>
    </row>
    <row r="62" spans="1:1">
      <c r="A62" t="s">
        <v>137</v>
      </c>
    </row>
    <row r="63" spans="1:1">
      <c r="A63" t="s">
        <v>138</v>
      </c>
    </row>
    <row r="64" spans="1:1">
      <c r="A64" t="s">
        <v>139</v>
      </c>
    </row>
    <row r="65" spans="1:1">
      <c r="A65" t="s">
        <v>140</v>
      </c>
    </row>
    <row r="66" spans="1:1">
      <c r="A66" t="s">
        <v>141</v>
      </c>
    </row>
    <row r="67" spans="1:1">
      <c r="A67" s="5" t="s">
        <v>142</v>
      </c>
    </row>
    <row r="68" spans="1:1">
      <c r="A68" t="s">
        <v>143</v>
      </c>
    </row>
    <row r="69" spans="1:1">
      <c r="A69" s="5" t="s">
        <v>144</v>
      </c>
    </row>
    <row r="70" spans="1:1">
      <c r="A70" t="s">
        <v>145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65"/>
  <sheetViews>
    <sheetView workbookViewId="0"/>
  </sheetViews>
  <sheetFormatPr defaultRowHeight="14.4"/>
  <cols>
    <col min="1" max="1" width="124.88671875" customWidth="1"/>
  </cols>
  <sheetData>
    <row r="1" spans="1:1">
      <c r="A1" t="s">
        <v>14</v>
      </c>
    </row>
    <row r="2" spans="1:1">
      <c r="A2" t="s">
        <v>15</v>
      </c>
    </row>
    <row r="3" spans="1:1">
      <c r="A3" t="s">
        <v>16</v>
      </c>
    </row>
    <row r="4" spans="1:1">
      <c r="A4" t="s">
        <v>17</v>
      </c>
    </row>
    <row r="5" spans="1:1">
      <c r="A5" t="s">
        <v>18</v>
      </c>
    </row>
    <row r="6" spans="1:1">
      <c r="A6" t="s">
        <v>19</v>
      </c>
    </row>
    <row r="7" spans="1:1">
      <c r="A7" t="s">
        <v>20</v>
      </c>
    </row>
    <row r="8" spans="1:1">
      <c r="A8" t="s">
        <v>21</v>
      </c>
    </row>
    <row r="9" spans="1:1">
      <c r="A9" t="s">
        <v>22</v>
      </c>
    </row>
    <row r="10" spans="1:1">
      <c r="A10" t="s">
        <v>23</v>
      </c>
    </row>
    <row r="11" spans="1:1">
      <c r="A11" t="s">
        <v>24</v>
      </c>
    </row>
    <row r="12" spans="1:1">
      <c r="A12" t="s">
        <v>25</v>
      </c>
    </row>
    <row r="13" spans="1:1">
      <c r="A13" t="s">
        <v>26</v>
      </c>
    </row>
    <row r="14" spans="1:1">
      <c r="A14" t="s">
        <v>27</v>
      </c>
    </row>
    <row r="15" spans="1:1">
      <c r="A15" t="s">
        <v>28</v>
      </c>
    </row>
    <row r="16" spans="1:1">
      <c r="A16" t="s">
        <v>29</v>
      </c>
    </row>
    <row r="17" spans="1:1">
      <c r="A17" t="s">
        <v>30</v>
      </c>
    </row>
    <row r="18" spans="1:1">
      <c r="A18" t="s">
        <v>31</v>
      </c>
    </row>
    <row r="19" spans="1:1">
      <c r="A19" t="s">
        <v>32</v>
      </c>
    </row>
    <row r="20" spans="1:1">
      <c r="A20" t="s">
        <v>33</v>
      </c>
    </row>
    <row r="21" spans="1:1">
      <c r="A21" t="s">
        <v>34</v>
      </c>
    </row>
    <row r="22" spans="1:1">
      <c r="A22" t="s">
        <v>35</v>
      </c>
    </row>
    <row r="23" spans="1:1">
      <c r="A23" t="s">
        <v>36</v>
      </c>
    </row>
    <row r="24" spans="1:1">
      <c r="A24" t="s">
        <v>37</v>
      </c>
    </row>
    <row r="25" spans="1:1">
      <c r="A25" t="s">
        <v>38</v>
      </c>
    </row>
    <row r="26" spans="1:1">
      <c r="A26" t="s">
        <v>39</v>
      </c>
    </row>
    <row r="27" spans="1:1">
      <c r="A27" t="s">
        <v>40</v>
      </c>
    </row>
    <row r="28" spans="1:1">
      <c r="A28" t="s">
        <v>41</v>
      </c>
    </row>
    <row r="29" spans="1:1">
      <c r="A29" t="s">
        <v>42</v>
      </c>
    </row>
    <row r="30" spans="1:1">
      <c r="A30" t="s">
        <v>43</v>
      </c>
    </row>
    <row r="31" spans="1:1">
      <c r="A31" t="s">
        <v>44</v>
      </c>
    </row>
    <row r="32" spans="1:1">
      <c r="A32" t="s">
        <v>45</v>
      </c>
    </row>
    <row r="33" spans="1:1">
      <c r="A33" t="s">
        <v>46</v>
      </c>
    </row>
    <row r="34" spans="1:1">
      <c r="A34" t="s">
        <v>47</v>
      </c>
    </row>
    <row r="35" spans="1:1">
      <c r="A35" t="s">
        <v>48</v>
      </c>
    </row>
    <row r="36" spans="1:1">
      <c r="A36" t="s">
        <v>49</v>
      </c>
    </row>
    <row r="37" spans="1:1">
      <c r="A37" t="s">
        <v>50</v>
      </c>
    </row>
    <row r="38" spans="1:1">
      <c r="A38" t="s">
        <v>51</v>
      </c>
    </row>
    <row r="39" spans="1:1">
      <c r="A39" t="s">
        <v>52</v>
      </c>
    </row>
    <row r="40" spans="1:1">
      <c r="A40" t="s">
        <v>53</v>
      </c>
    </row>
    <row r="41" spans="1:1">
      <c r="A41" t="s">
        <v>54</v>
      </c>
    </row>
    <row r="42" spans="1:1">
      <c r="A42" t="s">
        <v>55</v>
      </c>
    </row>
    <row r="43" spans="1:1">
      <c r="A43" t="s">
        <v>56</v>
      </c>
    </row>
    <row r="44" spans="1:1">
      <c r="A44" t="s">
        <v>57</v>
      </c>
    </row>
    <row r="45" spans="1:1">
      <c r="A45" t="s">
        <v>58</v>
      </c>
    </row>
    <row r="46" spans="1:1">
      <c r="A46" t="s">
        <v>59</v>
      </c>
    </row>
    <row r="47" spans="1:1">
      <c r="A47" t="s">
        <v>60</v>
      </c>
    </row>
    <row r="48" spans="1:1">
      <c r="A48" t="s">
        <v>61</v>
      </c>
    </row>
    <row r="49" spans="1:1">
      <c r="A49" t="s">
        <v>62</v>
      </c>
    </row>
    <row r="50" spans="1:1">
      <c r="A50" t="s">
        <v>63</v>
      </c>
    </row>
    <row r="51" spans="1:1">
      <c r="A51" t="s">
        <v>64</v>
      </c>
    </row>
    <row r="52" spans="1:1">
      <c r="A52" t="s">
        <v>65</v>
      </c>
    </row>
    <row r="53" spans="1:1">
      <c r="A53" t="s">
        <v>66</v>
      </c>
    </row>
    <row r="54" spans="1:1">
      <c r="A54" t="s">
        <v>67</v>
      </c>
    </row>
    <row r="55" spans="1:1">
      <c r="A55" t="s">
        <v>68</v>
      </c>
    </row>
    <row r="56" spans="1:1">
      <c r="A56" t="s">
        <v>69</v>
      </c>
    </row>
    <row r="57" spans="1:1">
      <c r="A57" t="s">
        <v>70</v>
      </c>
    </row>
    <row r="58" spans="1:1">
      <c r="A58" t="s">
        <v>71</v>
      </c>
    </row>
    <row r="59" spans="1:1">
      <c r="A59" t="s">
        <v>72</v>
      </c>
    </row>
    <row r="60" spans="1:1">
      <c r="A60" t="s">
        <v>73</v>
      </c>
    </row>
    <row r="61" spans="1:1">
      <c r="A61" t="s">
        <v>74</v>
      </c>
    </row>
    <row r="62" spans="1:1">
      <c r="A62" t="s">
        <v>75</v>
      </c>
    </row>
    <row r="63" spans="1:1">
      <c r="A63" t="s">
        <v>76</v>
      </c>
    </row>
    <row r="64" spans="1:1">
      <c r="A64" t="s">
        <v>77</v>
      </c>
    </row>
    <row r="65" spans="1:1">
      <c r="A65" t="s">
        <v>78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7" customWidth="1"/>
    <col min="2" max="2" width="32.88671875" style="7" customWidth="1"/>
    <col min="3" max="3" width="41.44140625" style="7" customWidth="1"/>
    <col min="4" max="16384" width="8.8867187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2021-09-05T09:59:50Z</dcterms:modified>
</cp:coreProperties>
</file>