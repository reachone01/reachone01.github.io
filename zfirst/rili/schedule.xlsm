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0" yWindow="96" windowWidth="15576" windowHeight="9432" activeTab="2"/>
  </bookViews>
  <sheets>
    <sheet name="finished" sheetId="6" r:id="rId1"/>
    <sheet name="schedule" sheetId="1" r:id="rId2"/>
    <sheet name="Sheet1" sheetId="7" r:id="rId3"/>
  </sheets>
  <definedNames>
    <definedName name="_xlnm._FilterDatabase" localSheetId="0" hidden="1">finished!$A$1:$H$1</definedName>
    <definedName name="_xlnm._FilterDatabase" localSheetId="1" hidden="1">schedule!$A$1:$H$2</definedName>
  </definedNames>
  <calcPr calcId="124519"/>
</workbook>
</file>

<file path=xl/calcChain.xml><?xml version="1.0" encoding="utf-8"?>
<calcChain xmlns="http://schemas.openxmlformats.org/spreadsheetml/2006/main">
  <c r="E18" i="6"/>
  <c r="E17"/>
  <c r="E16"/>
  <c r="E15"/>
  <c r="E14"/>
  <c r="E10" i="1"/>
  <c r="E9"/>
  <c r="E8"/>
  <c r="E7"/>
  <c r="E6"/>
  <c r="E5"/>
  <c r="E4"/>
  <c r="E2"/>
  <c r="B1"/>
  <c r="E13" i="6"/>
  <c r="E12"/>
  <c r="E11"/>
  <c r="E10"/>
  <c r="E9"/>
  <c r="E8"/>
  <c r="E7"/>
  <c r="E6"/>
  <c r="E5"/>
  <c r="E4"/>
  <c r="E3"/>
  <c r="E2"/>
  <c r="B1"/>
</calcChain>
</file>

<file path=xl/sharedStrings.xml><?xml version="1.0" encoding="utf-8"?>
<sst xmlns="http://schemas.openxmlformats.org/spreadsheetml/2006/main" count="158" uniqueCount="122">
  <si>
    <t>date required
finished</t>
    <phoneticPr fontId="1" type="noConversion"/>
  </si>
  <si>
    <t>sn</t>
    <phoneticPr fontId="1" type="noConversion"/>
  </si>
  <si>
    <t>state finished
recorded</t>
    <phoneticPr fontId="1" type="noConversion"/>
  </si>
  <si>
    <t>count
down</t>
    <phoneticPr fontId="1" type="noConversion"/>
  </si>
  <si>
    <t>OK?</t>
    <phoneticPr fontId="1" type="noConversion"/>
  </si>
  <si>
    <t>remark</t>
    <phoneticPr fontId="1" type="noConversion"/>
  </si>
  <si>
    <t>brother's birthday</t>
    <phoneticPr fontId="1" type="noConversion"/>
  </si>
  <si>
    <t>returned book</t>
    <phoneticPr fontId="1" type="noConversion"/>
  </si>
  <si>
    <t>room's rent</t>
    <phoneticPr fontId="1" type="noConversion"/>
  </si>
  <si>
    <t>credit repay 695</t>
    <phoneticPr fontId="1" type="noConversion"/>
  </si>
  <si>
    <t>date
started</t>
    <phoneticPr fontId="1" type="noConversion"/>
  </si>
  <si>
    <t>ok</t>
  </si>
  <si>
    <t>ok</t>
    <phoneticPr fontId="1" type="noConversion"/>
  </si>
  <si>
    <t>credit comm merchant ready</t>
    <phoneticPr fontId="1" type="noConversion"/>
  </si>
  <si>
    <t>sn</t>
    <phoneticPr fontId="1" type="noConversion"/>
  </si>
  <si>
    <t>date
started</t>
    <phoneticPr fontId="1" type="noConversion"/>
  </si>
  <si>
    <t>date required
finished</t>
    <phoneticPr fontId="1" type="noConversion"/>
  </si>
  <si>
    <t>count
down</t>
    <phoneticPr fontId="1" type="noConversion"/>
  </si>
  <si>
    <t>state finished
recorded</t>
    <phoneticPr fontId="1" type="noConversion"/>
  </si>
  <si>
    <t>OK?</t>
    <phoneticPr fontId="1" type="noConversion"/>
  </si>
  <si>
    <t>room's rent</t>
  </si>
  <si>
    <t>room's rent</t>
    <phoneticPr fontId="1" type="noConversion"/>
  </si>
  <si>
    <t>层</t>
  </si>
  <si>
    <t>北楼</t>
  </si>
  <si>
    <t>南楼</t>
  </si>
  <si>
    <t>自助服务区</t>
  </si>
  <si>
    <t>阅读体验区</t>
  </si>
  <si>
    <t>休闲生活馆</t>
  </si>
  <si>
    <t>视障人士服务区</t>
  </si>
  <si>
    <t>其他馆通借通还图书区</t>
  </si>
  <si>
    <t>二层</t>
  </si>
  <si>
    <t>报刊区</t>
  </si>
  <si>
    <t>玩具</t>
  </si>
  <si>
    <t>考试资料区</t>
  </si>
  <si>
    <t>三层</t>
  </si>
  <si>
    <t>中小学生文学艺术</t>
  </si>
  <si>
    <t>四层</t>
  </si>
  <si>
    <t>非中国小说区区</t>
  </si>
  <si>
    <t>五层</t>
  </si>
  <si>
    <t>廉洁专题书刊区</t>
  </si>
  <si>
    <t>六层</t>
  </si>
  <si>
    <t>社会科学图书二区</t>
  </si>
  <si>
    <t>（G-K)</t>
  </si>
  <si>
    <t>语言学习馆</t>
  </si>
  <si>
    <t>七层</t>
  </si>
  <si>
    <t>综合图书区</t>
  </si>
  <si>
    <t>信息研究中心</t>
  </si>
  <si>
    <t>研究写作室</t>
  </si>
  <si>
    <t>科技图书</t>
  </si>
  <si>
    <t>工具书</t>
  </si>
  <si>
    <t>(N-Z)</t>
  </si>
  <si>
    <t>八层</t>
  </si>
  <si>
    <t>多元文化馆</t>
  </si>
  <si>
    <t>交流研究室</t>
  </si>
  <si>
    <t>创意设计馆</t>
  </si>
  <si>
    <t>信息咨询中心</t>
  </si>
  <si>
    <t>创客空间</t>
  </si>
  <si>
    <t>石景宜石汉基先生赠书陈列室</t>
  </si>
  <si>
    <t>九层</t>
  </si>
  <si>
    <t>广州人文馆</t>
  </si>
  <si>
    <t>家谱查询中心</t>
  </si>
  <si>
    <t>普通视听资料区</t>
    <phoneticPr fontId="1" type="noConversion"/>
  </si>
  <si>
    <t>中小学生视听资料区</t>
    <phoneticPr fontId="1" type="noConversion"/>
  </si>
  <si>
    <t>综合书刊、创客</t>
  </si>
  <si>
    <t>电子阅览室</t>
    <phoneticPr fontId="1" type="noConversion"/>
  </si>
  <si>
    <t>（信息技能学习区）</t>
    <phoneticPr fontId="1" type="noConversion"/>
  </si>
  <si>
    <t>交流培训室、餐厅</t>
    <phoneticPr fontId="1" type="noConversion"/>
  </si>
  <si>
    <t>报告厅、展览厅</t>
    <phoneticPr fontId="1" type="noConversion"/>
  </si>
  <si>
    <t>一层</t>
    <phoneticPr fontId="1" type="noConversion"/>
  </si>
  <si>
    <t>-1层</t>
    <phoneticPr fontId="1" type="noConversion"/>
  </si>
  <si>
    <t>《广州大典》</t>
    <phoneticPr fontId="1" type="noConversion"/>
  </si>
  <si>
    <t>广州历史文化研究基地</t>
  </si>
  <si>
    <t>左（全部）</t>
    <phoneticPr fontId="1" type="noConversion"/>
  </si>
  <si>
    <t>右（全部）</t>
    <phoneticPr fontId="1" type="noConversion"/>
  </si>
  <si>
    <t>左（重点）</t>
    <phoneticPr fontId="1" type="noConversion"/>
  </si>
  <si>
    <t>右（重点）</t>
    <phoneticPr fontId="1" type="noConversion"/>
  </si>
  <si>
    <t>B 哲学、宗教;(A-C912,1-33)</t>
    <phoneticPr fontId="1" type="noConversion"/>
  </si>
  <si>
    <t>物流</t>
  </si>
  <si>
    <t>传记</t>
  </si>
  <si>
    <t>N 自然科学总论;</t>
    <phoneticPr fontId="1" type="noConversion"/>
  </si>
  <si>
    <t>O 数理科学和化学;</t>
  </si>
  <si>
    <t>P 天文学、地球科学;</t>
  </si>
  <si>
    <t>Q 生物科学;</t>
  </si>
  <si>
    <t>R 医药、卫生;</t>
  </si>
  <si>
    <t>S 农业科学; </t>
  </si>
  <si>
    <t>U 交通运输;</t>
  </si>
  <si>
    <t>V 航空、航天;</t>
  </si>
  <si>
    <t>X 环境科学、安全科学;</t>
  </si>
  <si>
    <t>Z 综合性图书;</t>
  </si>
  <si>
    <t>工具书；</t>
  </si>
  <si>
    <t>T 工业技术;</t>
    <phoneticPr fontId="1" type="noConversion"/>
  </si>
  <si>
    <t>管理、法律</t>
    <phoneticPr fontId="1" type="noConversion"/>
  </si>
  <si>
    <t>美学、心理学</t>
    <phoneticPr fontId="1" type="noConversion"/>
  </si>
  <si>
    <t>国贸</t>
    <phoneticPr fontId="1" type="noConversion"/>
  </si>
  <si>
    <t>金融</t>
    <phoneticPr fontId="1" type="noConversion"/>
  </si>
  <si>
    <t>汽车驾驶</t>
    <phoneticPr fontId="1" type="noConversion"/>
  </si>
  <si>
    <t>计算机图书</t>
    <phoneticPr fontId="1" type="noConversion"/>
  </si>
  <si>
    <t>社会科学图书一区</t>
    <phoneticPr fontId="1" type="noConversion"/>
  </si>
  <si>
    <t>（A-F）</t>
    <phoneticPr fontId="1" type="noConversion"/>
  </si>
  <si>
    <t>（I247.5/）</t>
    <phoneticPr fontId="1" type="noConversion"/>
  </si>
  <si>
    <t>小剧场</t>
    <phoneticPr fontId="1" type="noConversion"/>
  </si>
  <si>
    <t>亲子绘本阅读馆</t>
    <phoneticPr fontId="1" type="noConversion"/>
  </si>
  <si>
    <t>中国小说区</t>
    <phoneticPr fontId="1" type="noConversion"/>
  </si>
  <si>
    <t>报纸</t>
    <phoneticPr fontId="1" type="noConversion"/>
  </si>
  <si>
    <t>期刊</t>
    <phoneticPr fontId="1" type="noConversion"/>
  </si>
  <si>
    <t>A 马列主义、毛泽东思想、邓小平理论</t>
    <phoneticPr fontId="1" type="noConversion"/>
  </si>
  <si>
    <t>C 社会科学总论</t>
    <phoneticPr fontId="1" type="noConversion"/>
  </si>
  <si>
    <t>D 政治、法律(C912.1-D997,34-55)</t>
    <phoneticPr fontId="1" type="noConversion"/>
  </si>
  <si>
    <t>G 文化、科学、教育、体育(40-44)</t>
    <phoneticPr fontId="1" type="noConversion"/>
  </si>
  <si>
    <t>H 语言、文字(1-25,25-39)</t>
    <phoneticPr fontId="1" type="noConversion"/>
  </si>
  <si>
    <t>J 艺术(45-60)</t>
    <phoneticPr fontId="1" type="noConversion"/>
  </si>
  <si>
    <t>E 军事</t>
    <phoneticPr fontId="1" type="noConversion"/>
  </si>
  <si>
    <t>F 经济</t>
    <phoneticPr fontId="1" type="noConversion"/>
  </si>
  <si>
    <t>廉洁专题书</t>
    <phoneticPr fontId="1" type="noConversion"/>
  </si>
  <si>
    <t>K 历史、地理</t>
    <phoneticPr fontId="1" type="noConversion"/>
  </si>
  <si>
    <t>公交车：乘坐886、886A、293路公交车在冼村路南站下；或乘坐40、407路公交车在广州大剧院西门站下。</t>
  </si>
  <si>
    <t>地址：广州市珠江东路4号（新馆） 邮编：510623 总机：(020)83836666；网 址：www.gzlib.gov.cn 电子邮箱：gtwlzy@gzlib.gov.cn</t>
  </si>
  <si>
    <t>开放时间为9：00-21：00，逢周三闭馆，节日9：00-16：00。</t>
  </si>
  <si>
    <t>广州图书馆咨询续借电话（83880033）人工服务时间为09：00——12：00，13：00——18：00，其余时间段（含周三闭馆日）将自动转接到电话语音服务；</t>
  </si>
  <si>
    <t>地铁：乘坐地铁3号线珠江新城站B1出口，向前行至广州大剧院，再沿临江大道向东行200米；</t>
    <phoneticPr fontId="1" type="noConversion"/>
  </si>
  <si>
    <t xml:space="preserve">      或乘坐地铁5号线猎德站D出口，向前行至冼村路，再向左沿冼村路南方向行约200米；</t>
    <phoneticPr fontId="1" type="noConversion"/>
  </si>
  <si>
    <t xml:space="preserve">      或乘坐APM线歌剧院出口。</t>
    <phoneticPr fontId="1" type="noConversion"/>
  </si>
</sst>
</file>

<file path=xl/styles.xml><?xml version="1.0" encoding="utf-8"?>
<styleSheet xmlns="http://schemas.openxmlformats.org/spreadsheetml/2006/main">
  <numFmts count="1">
    <numFmt numFmtId="176" formatCode="0_);[Red]\(0\)"/>
  </numFmts>
  <fonts count="9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0"/>
      <name val="宋体"/>
      <family val="3"/>
      <charset val="134"/>
      <scheme val="minor"/>
    </font>
    <font>
      <sz val="11"/>
      <color rgb="FF000000"/>
      <name val="宋体"/>
      <family val="3"/>
      <charset val="134"/>
      <scheme val="minor"/>
    </font>
    <font>
      <b/>
      <sz val="11"/>
      <color rgb="FF000000"/>
      <name val="宋体"/>
      <family val="3"/>
      <charset val="134"/>
      <scheme val="minor"/>
    </font>
    <font>
      <sz val="9"/>
      <color rgb="FF00000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3999145481734672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/>
      <diagonal/>
    </border>
  </borders>
  <cellStyleXfs count="1">
    <xf numFmtId="0" fontId="0" fillId="0" borderId="0">
      <alignment vertical="center"/>
    </xf>
  </cellStyleXfs>
  <cellXfs count="7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 wrapText="1"/>
    </xf>
    <xf numFmtId="0" fontId="0" fillId="0" borderId="1" xfId="0" applyBorder="1">
      <alignment vertical="center"/>
    </xf>
    <xf numFmtId="176" fontId="0" fillId="0" borderId="1" xfId="0" applyNumberFormat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14" fontId="0" fillId="0" borderId="1" xfId="0" applyNumberForma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22" fontId="0" fillId="0" borderId="1" xfId="0" applyNumberFormat="1" applyBorder="1" applyAlignment="1">
      <alignment horizontal="right"/>
    </xf>
    <xf numFmtId="0" fontId="0" fillId="0" borderId="1" xfId="0" applyBorder="1" applyAlignment="1">
      <alignment horizontal="center" vertical="top"/>
    </xf>
    <xf numFmtId="0" fontId="0" fillId="0" borderId="1" xfId="0" applyBorder="1" applyAlignment="1">
      <alignment horizontal="center" vertical="top" wrapText="1"/>
    </xf>
    <xf numFmtId="0" fontId="0" fillId="0" borderId="0" xfId="0">
      <alignment vertical="center"/>
    </xf>
    <xf numFmtId="0" fontId="0" fillId="0" borderId="2" xfId="0" applyBorder="1">
      <alignment vertical="center"/>
    </xf>
    <xf numFmtId="0" fontId="0" fillId="0" borderId="2" xfId="0" applyBorder="1" applyAlignment="1">
      <alignment horizontal="left" vertical="center"/>
    </xf>
    <xf numFmtId="14" fontId="0" fillId="0" borderId="2" xfId="0" applyNumberFormat="1" applyBorder="1">
      <alignment vertical="center"/>
    </xf>
    <xf numFmtId="0" fontId="0" fillId="0" borderId="2" xfId="0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top"/>
    </xf>
    <xf numFmtId="14" fontId="2" fillId="2" borderId="2" xfId="0" applyNumberFormat="1" applyFont="1" applyFill="1" applyBorder="1" applyAlignment="1">
      <alignment horizontal="center" vertical="center" wrapText="1"/>
    </xf>
    <xf numFmtId="176" fontId="2" fillId="2" borderId="2" xfId="0" applyNumberFormat="1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top" wrapText="1"/>
    </xf>
    <xf numFmtId="176" fontId="0" fillId="0" borderId="2" xfId="0" applyNumberFormat="1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14" fontId="2" fillId="2" borderId="2" xfId="0" applyNumberFormat="1" applyFont="1" applyFill="1" applyBorder="1" applyAlignment="1">
      <alignment horizontal="right"/>
    </xf>
    <xf numFmtId="0" fontId="0" fillId="0" borderId="0" xfId="0" applyBorder="1" applyAlignment="1">
      <alignment vertical="center"/>
    </xf>
    <xf numFmtId="0" fontId="0" fillId="0" borderId="0" xfId="0" applyBorder="1" applyAlignment="1">
      <alignment vertical="center" shrinkToFit="1"/>
    </xf>
    <xf numFmtId="0" fontId="3" fillId="0" borderId="0" xfId="0" applyFont="1" applyBorder="1" applyAlignment="1">
      <alignment vertical="center"/>
    </xf>
    <xf numFmtId="0" fontId="0" fillId="0" borderId="0" xfId="0" applyBorder="1" applyAlignment="1">
      <alignment vertical="center" wrapText="1"/>
    </xf>
    <xf numFmtId="49" fontId="3" fillId="0" borderId="2" xfId="0" applyNumberFormat="1" applyFont="1" applyFill="1" applyBorder="1" applyAlignment="1">
      <alignment horizontal="left" vertical="center" shrinkToFit="1"/>
    </xf>
    <xf numFmtId="0" fontId="3" fillId="0" borderId="2" xfId="0" applyFont="1" applyFill="1" applyBorder="1" applyAlignment="1">
      <alignment vertical="center" shrinkToFit="1"/>
    </xf>
    <xf numFmtId="0" fontId="3" fillId="0" borderId="2" xfId="0" applyFont="1" applyFill="1" applyBorder="1" applyAlignment="1">
      <alignment horizontal="left" vertical="center" wrapText="1"/>
    </xf>
    <xf numFmtId="0" fontId="3" fillId="0" borderId="3" xfId="0" applyFont="1" applyFill="1" applyBorder="1" applyAlignment="1">
      <alignment vertical="center" shrinkToFit="1"/>
    </xf>
    <xf numFmtId="0" fontId="4" fillId="0" borderId="3" xfId="0" applyFont="1" applyFill="1" applyBorder="1" applyAlignment="1">
      <alignment vertical="center" wrapText="1"/>
    </xf>
    <xf numFmtId="0" fontId="3" fillId="0" borderId="4" xfId="0" applyFont="1" applyFill="1" applyBorder="1" applyAlignment="1">
      <alignment vertical="center" shrinkToFit="1"/>
    </xf>
    <xf numFmtId="0" fontId="4" fillId="0" borderId="4" xfId="0" applyFont="1" applyFill="1" applyBorder="1" applyAlignment="1">
      <alignment vertical="center" wrapText="1"/>
    </xf>
    <xf numFmtId="0" fontId="3" fillId="0" borderId="5" xfId="0" applyFont="1" applyFill="1" applyBorder="1" applyAlignment="1">
      <alignment vertical="center" shrinkToFit="1"/>
    </xf>
    <xf numFmtId="0" fontId="3" fillId="0" borderId="5" xfId="0" applyFont="1" applyFill="1" applyBorder="1" applyAlignment="1">
      <alignment horizontal="left" vertical="center" wrapText="1"/>
    </xf>
    <xf numFmtId="0" fontId="3" fillId="0" borderId="3" xfId="0" applyFont="1" applyFill="1" applyBorder="1" applyAlignment="1">
      <alignment horizontal="left" vertical="center" shrinkToFit="1"/>
    </xf>
    <xf numFmtId="0" fontId="5" fillId="0" borderId="3" xfId="0" applyFont="1" applyFill="1" applyBorder="1" applyAlignment="1">
      <alignment horizontal="left" vertical="center" wrapText="1"/>
    </xf>
    <xf numFmtId="0" fontId="0" fillId="0" borderId="3" xfId="0" applyFill="1" applyBorder="1" applyAlignment="1">
      <alignment vertical="center"/>
    </xf>
    <xf numFmtId="0" fontId="3" fillId="0" borderId="3" xfId="0" applyFont="1" applyFill="1" applyBorder="1" applyAlignment="1">
      <alignment horizontal="left" vertical="center"/>
    </xf>
    <xf numFmtId="0" fontId="0" fillId="0" borderId="4" xfId="0" applyFill="1" applyBorder="1" applyAlignment="1">
      <alignment vertical="center" shrinkToFit="1"/>
    </xf>
    <xf numFmtId="0" fontId="3" fillId="0" borderId="4" xfId="0" applyFont="1" applyFill="1" applyBorder="1" applyAlignment="1">
      <alignment horizontal="left" vertical="center" wrapText="1"/>
    </xf>
    <xf numFmtId="0" fontId="0" fillId="0" borderId="4" xfId="0" applyFill="1" applyBorder="1" applyAlignment="1">
      <alignment vertical="center"/>
    </xf>
    <xf numFmtId="0" fontId="0" fillId="0" borderId="5" xfId="0" applyFill="1" applyBorder="1" applyAlignment="1">
      <alignment vertical="center" shrinkToFit="1"/>
    </xf>
    <xf numFmtId="0" fontId="3" fillId="0" borderId="5" xfId="0" applyFont="1" applyFill="1" applyBorder="1" applyAlignment="1">
      <alignment horizontal="left" vertical="center" shrinkToFit="1"/>
    </xf>
    <xf numFmtId="0" fontId="3" fillId="0" borderId="3" xfId="0" applyFont="1" applyFill="1" applyBorder="1" applyAlignment="1">
      <alignment vertical="center"/>
    </xf>
    <xf numFmtId="0" fontId="3" fillId="0" borderId="5" xfId="0" applyFont="1" applyFill="1" applyBorder="1" applyAlignment="1">
      <alignment vertical="center"/>
    </xf>
    <xf numFmtId="0" fontId="3" fillId="0" borderId="3" xfId="0" applyFont="1" applyFill="1" applyBorder="1" applyAlignment="1">
      <alignment horizontal="left" vertical="center" wrapText="1"/>
    </xf>
    <xf numFmtId="0" fontId="0" fillId="0" borderId="4" xfId="0" applyFill="1" applyBorder="1" applyAlignment="1">
      <alignment vertical="center" wrapText="1"/>
    </xf>
    <xf numFmtId="0" fontId="3" fillId="0" borderId="4" xfId="0" applyFont="1" applyFill="1" applyBorder="1" applyAlignment="1">
      <alignment horizontal="left" vertical="center" shrinkToFit="1"/>
    </xf>
    <xf numFmtId="0" fontId="4" fillId="0" borderId="3" xfId="0" applyFont="1" applyFill="1" applyBorder="1" applyAlignment="1">
      <alignment vertical="center"/>
    </xf>
    <xf numFmtId="0" fontId="4" fillId="0" borderId="4" xfId="0" applyFont="1" applyFill="1" applyBorder="1" applyAlignment="1">
      <alignment vertical="center"/>
    </xf>
    <xf numFmtId="0" fontId="0" fillId="0" borderId="5" xfId="0" applyFill="1" applyBorder="1" applyAlignment="1">
      <alignment vertical="center" wrapText="1"/>
    </xf>
    <xf numFmtId="0" fontId="6" fillId="0" borderId="0" xfId="0" applyFont="1" applyFill="1" applyBorder="1" applyAlignment="1">
      <alignment horizontal="left" vertical="center" shrinkToFit="1"/>
    </xf>
    <xf numFmtId="0" fontId="6" fillId="0" borderId="0" xfId="0" applyFont="1" applyFill="1" applyBorder="1" applyAlignment="1">
      <alignment horizontal="left" vertical="center" wrapText="1"/>
    </xf>
    <xf numFmtId="0" fontId="7" fillId="0" borderId="0" xfId="0" applyFont="1" applyFill="1" applyBorder="1" applyAlignment="1">
      <alignment horizontal="left" vertical="center" shrinkToFit="1"/>
    </xf>
    <xf numFmtId="0" fontId="7" fillId="0" borderId="0" xfId="0" applyFont="1" applyFill="1" applyBorder="1" applyAlignment="1">
      <alignment horizontal="left" vertical="center" wrapText="1"/>
    </xf>
    <xf numFmtId="0" fontId="4" fillId="0" borderId="3" xfId="0" applyFont="1" applyFill="1" applyBorder="1" applyAlignment="1">
      <alignment horizontal="left" vertical="center" wrapText="1"/>
    </xf>
    <xf numFmtId="0" fontId="8" fillId="0" borderId="4" xfId="0" applyFont="1" applyFill="1" applyBorder="1" applyAlignment="1">
      <alignment vertical="center" wrapText="1"/>
    </xf>
    <xf numFmtId="0" fontId="4" fillId="0" borderId="4" xfId="0" applyFont="1" applyFill="1" applyBorder="1" applyAlignment="1">
      <alignment horizontal="left" vertical="center" wrapText="1"/>
    </xf>
    <xf numFmtId="0" fontId="6" fillId="0" borderId="5" xfId="0" applyFont="1" applyFill="1" applyBorder="1" applyAlignment="1">
      <alignment vertical="center" shrinkToFit="1"/>
    </xf>
    <xf numFmtId="0" fontId="6" fillId="0" borderId="4" xfId="0" applyFont="1" applyFill="1" applyBorder="1" applyAlignment="1">
      <alignment vertical="center" shrinkToFit="1"/>
    </xf>
    <xf numFmtId="0" fontId="6" fillId="0" borderId="0" xfId="0" applyFont="1" applyBorder="1" applyAlignment="1">
      <alignment vertical="center" shrinkToFit="1"/>
    </xf>
    <xf numFmtId="0" fontId="3" fillId="0" borderId="3" xfId="0" applyFont="1" applyFill="1" applyBorder="1" applyAlignment="1">
      <alignment vertical="center" wrapText="1" shrinkToFit="1"/>
    </xf>
    <xf numFmtId="0" fontId="6" fillId="0" borderId="4" xfId="0" applyFont="1" applyFill="1" applyBorder="1" applyAlignment="1">
      <alignment vertical="center"/>
    </xf>
    <xf numFmtId="0" fontId="6" fillId="0" borderId="5" xfId="0" applyFont="1" applyFill="1" applyBorder="1" applyAlignment="1">
      <alignment vertical="center"/>
    </xf>
    <xf numFmtId="0" fontId="6" fillId="0" borderId="0" xfId="0" applyFont="1" applyBorder="1" applyAlignment="1">
      <alignment vertical="center" wrapText="1"/>
    </xf>
    <xf numFmtId="0" fontId="3" fillId="0" borderId="5" xfId="0" applyFont="1" applyFill="1" applyBorder="1" applyAlignment="1">
      <alignment vertical="center" wrapText="1" shrinkToFit="1"/>
    </xf>
    <xf numFmtId="0" fontId="3" fillId="0" borderId="5" xfId="0" applyFont="1" applyFill="1" applyBorder="1" applyAlignment="1">
      <alignment vertical="center" wrapText="1"/>
    </xf>
    <xf numFmtId="0" fontId="3" fillId="0" borderId="3" xfId="0" applyFont="1" applyFill="1" applyBorder="1" applyAlignment="1">
      <alignment vertical="center" wrapText="1"/>
    </xf>
    <xf numFmtId="0" fontId="6" fillId="0" borderId="4" xfId="0" applyFont="1" applyFill="1" applyBorder="1" applyAlignment="1">
      <alignment vertical="center" wrapText="1"/>
    </xf>
    <xf numFmtId="0" fontId="6" fillId="0" borderId="5" xfId="0" applyFont="1" applyFill="1" applyBorder="1" applyAlignment="1">
      <alignment vertical="center" wrapText="1"/>
    </xf>
    <xf numFmtId="0" fontId="6" fillId="0" borderId="7" xfId="0" applyFont="1" applyBorder="1" applyAlignment="1">
      <alignment horizontal="left" vertical="center" shrinkToFit="1"/>
    </xf>
    <xf numFmtId="0" fontId="6" fillId="0" borderId="6" xfId="0" applyFont="1" applyBorder="1" applyAlignment="1">
      <alignment horizontal="left" vertical="center" shrinkToFit="1"/>
    </xf>
  </cellXfs>
  <cellStyles count="1">
    <cellStyle name="常规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60960</xdr:colOff>
      <xdr:row>0</xdr:row>
      <xdr:rowOff>106680</xdr:rowOff>
    </xdr:from>
    <xdr:to>
      <xdr:col>1</xdr:col>
      <xdr:colOff>754380</xdr:colOff>
      <xdr:row>0</xdr:row>
      <xdr:rowOff>281940</xdr:rowOff>
    </xdr:to>
    <xdr:sp macro="" textlink="">
      <xdr:nvSpPr>
        <xdr:cNvPr id="2" name="TextBox 1"/>
        <xdr:cNvSpPr txBox="1"/>
      </xdr:nvSpPr>
      <xdr:spPr>
        <a:xfrm>
          <a:off x="297180" y="106680"/>
          <a:ext cx="693420" cy="1752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tIns="0" rIns="0" bIns="0" rtlCol="0" anchor="t"/>
        <a:lstStyle/>
        <a:p>
          <a:r>
            <a:rPr lang="en-US" altLang="zh-CN" sz="1100"/>
            <a:t>description</a:t>
          </a:r>
          <a:endParaRPr lang="zh-CN" altLang="en-US" sz="1100"/>
        </a:p>
      </xdr:txBody>
    </xdr:sp>
    <xdr:clientData/>
  </xdr:twoCellAnchor>
  <xdr:twoCellAnchor>
    <xdr:from>
      <xdr:col>1</xdr:col>
      <xdr:colOff>1524000</xdr:colOff>
      <xdr:row>0</xdr:row>
      <xdr:rowOff>22860</xdr:rowOff>
    </xdr:from>
    <xdr:to>
      <xdr:col>1</xdr:col>
      <xdr:colOff>2057400</xdr:colOff>
      <xdr:row>0</xdr:row>
      <xdr:rowOff>198120</xdr:rowOff>
    </xdr:to>
    <xdr:sp macro="" textlink="">
      <xdr:nvSpPr>
        <xdr:cNvPr id="3" name="TextBox 2"/>
        <xdr:cNvSpPr txBox="1"/>
      </xdr:nvSpPr>
      <xdr:spPr>
        <a:xfrm>
          <a:off x="1760220" y="22860"/>
          <a:ext cx="533400" cy="1752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tIns="0" rIns="0" bIns="0" rtlCol="0" anchor="t"/>
        <a:lstStyle/>
        <a:p>
          <a:r>
            <a:rPr lang="en-US" altLang="zh-CN" sz="1100"/>
            <a:t>today</a:t>
          </a:r>
          <a:r>
            <a:rPr lang="en-US" altLang="zh-CN" sz="1100" baseline="0"/>
            <a:t> is:</a:t>
          </a:r>
          <a:endParaRPr lang="zh-CN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60960</xdr:colOff>
      <xdr:row>0</xdr:row>
      <xdr:rowOff>106680</xdr:rowOff>
    </xdr:from>
    <xdr:to>
      <xdr:col>1</xdr:col>
      <xdr:colOff>754380</xdr:colOff>
      <xdr:row>0</xdr:row>
      <xdr:rowOff>281940</xdr:rowOff>
    </xdr:to>
    <xdr:sp macro="" textlink="">
      <xdr:nvSpPr>
        <xdr:cNvPr id="2" name="TextBox 1"/>
        <xdr:cNvSpPr txBox="1"/>
      </xdr:nvSpPr>
      <xdr:spPr>
        <a:xfrm>
          <a:off x="960120" y="106680"/>
          <a:ext cx="693420" cy="1752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tIns="0" rIns="0" bIns="0" rtlCol="0" anchor="t"/>
        <a:lstStyle/>
        <a:p>
          <a:r>
            <a:rPr lang="en-US" altLang="zh-CN" sz="1100">
              <a:solidFill>
                <a:schemeClr val="bg1"/>
              </a:solidFill>
            </a:rPr>
            <a:t>description</a:t>
          </a:r>
          <a:endParaRPr lang="zh-CN" alt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1524000</xdr:colOff>
      <xdr:row>0</xdr:row>
      <xdr:rowOff>22860</xdr:rowOff>
    </xdr:from>
    <xdr:to>
      <xdr:col>1</xdr:col>
      <xdr:colOff>2057400</xdr:colOff>
      <xdr:row>0</xdr:row>
      <xdr:rowOff>198120</xdr:rowOff>
    </xdr:to>
    <xdr:sp macro="" textlink="">
      <xdr:nvSpPr>
        <xdr:cNvPr id="3" name="TextBox 2"/>
        <xdr:cNvSpPr txBox="1"/>
      </xdr:nvSpPr>
      <xdr:spPr>
        <a:xfrm>
          <a:off x="2423160" y="22860"/>
          <a:ext cx="533400" cy="1752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tIns="0" rIns="0" bIns="0" rtlCol="0" anchor="t"/>
        <a:lstStyle/>
        <a:p>
          <a:r>
            <a:rPr lang="en-US" altLang="zh-CN" sz="1100">
              <a:solidFill>
                <a:schemeClr val="bg1"/>
              </a:solidFill>
            </a:rPr>
            <a:t>today</a:t>
          </a:r>
          <a:r>
            <a:rPr lang="en-US" altLang="zh-CN" sz="1100" baseline="0">
              <a:solidFill>
                <a:schemeClr val="bg1"/>
              </a:solidFill>
            </a:rPr>
            <a:t> is:</a:t>
          </a:r>
          <a:endParaRPr lang="zh-CN" altLang="en-US" sz="1100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>
    <tabColor theme="3" tint="0.39997558519241921"/>
  </sheetPr>
  <dimension ref="A1:H18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14" sqref="B14"/>
    </sheetView>
  </sheetViews>
  <sheetFormatPr defaultRowHeight="14.4"/>
  <cols>
    <col min="1" max="1" width="3.44140625" style="1" bestFit="1" customWidth="1"/>
    <col min="2" max="2" width="36.44140625" customWidth="1"/>
    <col min="3" max="3" width="9.5546875" style="2" bestFit="1" customWidth="1"/>
    <col min="4" max="4" width="23.109375" style="2" customWidth="1"/>
    <col min="5" max="5" width="15.88671875" style="3" customWidth="1"/>
    <col min="6" max="6" width="16.44140625" style="1" customWidth="1"/>
    <col min="7" max="7" width="13.33203125" customWidth="1"/>
  </cols>
  <sheetData>
    <row r="1" spans="1:8" ht="28.8">
      <c r="A1" s="12" t="s">
        <v>1</v>
      </c>
      <c r="B1" s="11">
        <f ca="1">NOW()</f>
        <v>43396.820878240738</v>
      </c>
      <c r="C1" s="5" t="s">
        <v>10</v>
      </c>
      <c r="D1" s="5" t="s">
        <v>0</v>
      </c>
      <c r="E1" s="7" t="s">
        <v>3</v>
      </c>
      <c r="F1" s="8" t="s">
        <v>2</v>
      </c>
      <c r="G1" s="8" t="s">
        <v>4</v>
      </c>
      <c r="H1" s="13" t="s">
        <v>5</v>
      </c>
    </row>
    <row r="2" spans="1:8">
      <c r="A2" s="4">
        <v>4</v>
      </c>
      <c r="B2" s="6" t="s">
        <v>6</v>
      </c>
      <c r="C2" s="9"/>
      <c r="D2" s="9">
        <v>40941</v>
      </c>
      <c r="E2" s="10">
        <f t="shared" ref="E2:E18" ca="1" si="0">D2-NOW()</f>
        <v>-2455.8208782407382</v>
      </c>
      <c r="F2" s="4"/>
      <c r="G2" s="6" t="s">
        <v>11</v>
      </c>
      <c r="H2" s="6"/>
    </row>
    <row r="3" spans="1:8">
      <c r="A3" s="4">
        <v>1</v>
      </c>
      <c r="B3" s="6" t="s">
        <v>8</v>
      </c>
      <c r="C3" s="9"/>
      <c r="D3" s="9">
        <v>40919</v>
      </c>
      <c r="E3" s="10">
        <f t="shared" ca="1" si="0"/>
        <v>-2477.8208782407382</v>
      </c>
      <c r="F3" s="4"/>
      <c r="G3" s="6" t="s">
        <v>12</v>
      </c>
      <c r="H3" s="6"/>
    </row>
    <row r="4" spans="1:8">
      <c r="A4" s="4">
        <v>4</v>
      </c>
      <c r="B4" s="6" t="s">
        <v>6</v>
      </c>
      <c r="C4" s="9"/>
      <c r="D4" s="9">
        <v>40941</v>
      </c>
      <c r="E4" s="10">
        <f t="shared" ca="1" si="0"/>
        <v>-2455.8208782407382</v>
      </c>
      <c r="F4" s="4"/>
      <c r="G4" s="6" t="s">
        <v>12</v>
      </c>
      <c r="H4" s="6"/>
    </row>
    <row r="5" spans="1:8">
      <c r="A5" s="4">
        <v>3</v>
      </c>
      <c r="B5" s="6" t="s">
        <v>9</v>
      </c>
      <c r="C5" s="9"/>
      <c r="D5" s="9">
        <v>40926</v>
      </c>
      <c r="E5" s="10">
        <f t="shared" ca="1" si="0"/>
        <v>-2470.8208782407382</v>
      </c>
      <c r="F5" s="4"/>
      <c r="G5" s="6" t="s">
        <v>12</v>
      </c>
      <c r="H5" s="6"/>
    </row>
    <row r="6" spans="1:8">
      <c r="A6" s="4">
        <v>2</v>
      </c>
      <c r="B6" s="6" t="s">
        <v>7</v>
      </c>
      <c r="C6" s="9"/>
      <c r="D6" s="9">
        <v>40946</v>
      </c>
      <c r="E6" s="10">
        <f t="shared" ca="1" si="0"/>
        <v>-2450.8208782407382</v>
      </c>
      <c r="F6" s="4"/>
      <c r="G6" s="6" t="s">
        <v>12</v>
      </c>
      <c r="H6" s="6"/>
    </row>
    <row r="7" spans="1:8">
      <c r="A7" s="4">
        <v>2</v>
      </c>
      <c r="B7" s="6" t="s">
        <v>7</v>
      </c>
      <c r="C7" s="9">
        <v>222</v>
      </c>
      <c r="D7" s="9">
        <v>40946</v>
      </c>
      <c r="E7" s="10">
        <f t="shared" ca="1" si="0"/>
        <v>-2450.8208782407382</v>
      </c>
      <c r="F7" s="4"/>
      <c r="G7" s="6" t="s">
        <v>12</v>
      </c>
      <c r="H7" s="6"/>
    </row>
    <row r="8" spans="1:8">
      <c r="A8" s="4">
        <v>2</v>
      </c>
      <c r="B8" s="6" t="s">
        <v>7</v>
      </c>
      <c r="C8" s="9"/>
      <c r="D8" s="9">
        <v>40946</v>
      </c>
      <c r="E8" s="10">
        <f t="shared" ca="1" si="0"/>
        <v>-2450.8208782407382</v>
      </c>
      <c r="F8" s="4"/>
      <c r="G8" s="6" t="s">
        <v>12</v>
      </c>
      <c r="H8" s="6"/>
    </row>
    <row r="9" spans="1:8">
      <c r="A9" s="4">
        <v>1</v>
      </c>
      <c r="B9" s="6" t="s">
        <v>8</v>
      </c>
      <c r="C9" s="9"/>
      <c r="D9" s="9">
        <v>40919</v>
      </c>
      <c r="E9" s="10">
        <f t="shared" ca="1" si="0"/>
        <v>-2477.8208782407382</v>
      </c>
      <c r="F9" s="4"/>
      <c r="G9" s="6" t="s">
        <v>12</v>
      </c>
      <c r="H9" s="6"/>
    </row>
    <row r="10" spans="1:8">
      <c r="A10" s="4">
        <v>3</v>
      </c>
      <c r="B10" s="6" t="s">
        <v>9</v>
      </c>
      <c r="C10" s="9"/>
      <c r="D10" s="9">
        <v>40926</v>
      </c>
      <c r="E10" s="10">
        <f t="shared" ca="1" si="0"/>
        <v>-2470.8208782407382</v>
      </c>
      <c r="F10" s="4"/>
      <c r="G10" s="6" t="s">
        <v>12</v>
      </c>
      <c r="H10" s="6"/>
    </row>
    <row r="11" spans="1:8">
      <c r="A11" s="4">
        <v>4</v>
      </c>
      <c r="B11" s="6" t="s">
        <v>6</v>
      </c>
      <c r="C11" s="9"/>
      <c r="D11" s="9">
        <v>40941</v>
      </c>
      <c r="E11" s="10">
        <f t="shared" ca="1" si="0"/>
        <v>-2455.8208782407382</v>
      </c>
      <c r="F11" s="4"/>
      <c r="G11" s="6" t="s">
        <v>12</v>
      </c>
      <c r="H11" s="6"/>
    </row>
    <row r="12" spans="1:8">
      <c r="A12" s="4">
        <v>4</v>
      </c>
      <c r="B12" s="6" t="s">
        <v>6</v>
      </c>
      <c r="C12" s="9"/>
      <c r="D12" s="9">
        <v>40941</v>
      </c>
      <c r="E12" s="10">
        <f t="shared" ca="1" si="0"/>
        <v>-2455.8208782407382</v>
      </c>
      <c r="F12" s="4"/>
      <c r="G12" s="6" t="s">
        <v>11</v>
      </c>
      <c r="H12" s="6"/>
    </row>
    <row r="13" spans="1:8">
      <c r="A13" s="4">
        <v>1</v>
      </c>
      <c r="B13" s="6" t="s">
        <v>21</v>
      </c>
      <c r="C13" s="9"/>
      <c r="D13" s="9">
        <v>40919</v>
      </c>
      <c r="E13" s="10">
        <f t="shared" ca="1" si="0"/>
        <v>-2477.8208782407382</v>
      </c>
      <c r="F13" s="4"/>
      <c r="G13" t="s">
        <v>11</v>
      </c>
      <c r="H13" s="6"/>
    </row>
    <row r="14" spans="1:8">
      <c r="A14" s="4">
        <v>1</v>
      </c>
      <c r="B14" s="6" t="s">
        <v>21</v>
      </c>
      <c r="C14" s="9"/>
      <c r="D14" s="9">
        <v>40919</v>
      </c>
      <c r="E14" s="10">
        <f t="shared" ca="1" si="0"/>
        <v>-2477.8208782407382</v>
      </c>
      <c r="F14" s="4"/>
      <c r="G14" s="14" t="s">
        <v>11</v>
      </c>
      <c r="H14" s="6"/>
    </row>
    <row r="15" spans="1:8">
      <c r="A15" s="4">
        <v>10</v>
      </c>
      <c r="B15" s="6" t="s">
        <v>8</v>
      </c>
      <c r="C15" s="9"/>
      <c r="D15" s="9">
        <v>40919</v>
      </c>
      <c r="E15" s="10">
        <f t="shared" ca="1" si="0"/>
        <v>-2477.8208782407382</v>
      </c>
      <c r="F15" s="4"/>
      <c r="G15" s="6" t="s">
        <v>11</v>
      </c>
      <c r="H15" s="6"/>
    </row>
    <row r="16" spans="1:8">
      <c r="A16" s="4">
        <v>8</v>
      </c>
      <c r="B16" s="6" t="s">
        <v>7</v>
      </c>
      <c r="C16" s="9">
        <v>222</v>
      </c>
      <c r="D16" s="9">
        <v>40946</v>
      </c>
      <c r="E16" s="10">
        <f t="shared" ca="1" si="0"/>
        <v>-2450.8208782407382</v>
      </c>
      <c r="F16" s="4"/>
      <c r="G16" s="6" t="s">
        <v>11</v>
      </c>
      <c r="H16" s="6"/>
    </row>
    <row r="17" spans="1:8">
      <c r="A17" s="4">
        <v>8</v>
      </c>
      <c r="B17" s="6" t="s">
        <v>7</v>
      </c>
      <c r="C17" s="9"/>
      <c r="D17" s="9">
        <v>40946</v>
      </c>
      <c r="E17" s="10">
        <f t="shared" ca="1" si="0"/>
        <v>-2450.8208782407382</v>
      </c>
      <c r="F17" s="4"/>
      <c r="G17" s="6" t="s">
        <v>11</v>
      </c>
      <c r="H17" s="6"/>
    </row>
    <row r="18" spans="1:8">
      <c r="A18" s="4">
        <v>8</v>
      </c>
      <c r="B18" s="6" t="s">
        <v>9</v>
      </c>
      <c r="C18" s="9"/>
      <c r="D18" s="9">
        <v>40926</v>
      </c>
      <c r="E18" s="10">
        <f t="shared" ca="1" si="0"/>
        <v>-2470.8208782407382</v>
      </c>
      <c r="F18" s="4"/>
      <c r="G18" s="6" t="s">
        <v>11</v>
      </c>
      <c r="H18" s="6"/>
    </row>
  </sheetData>
  <autoFilter ref="A1:H1">
    <filterColumn colId="2"/>
    <sortState ref="A2:H15">
      <sortCondition ref="D2:D15"/>
    </sortState>
  </autoFilter>
  <phoneticPr fontId="1" type="noConversion"/>
  <dataValidations count="1">
    <dataValidation type="list" allowBlank="1" showInputMessage="1" showErrorMessage="1" sqref="G12:G18">
      <formula1>"ok"</formula1>
    </dataValidation>
  </dataValidations>
  <pageMargins left="0.7" right="0.7" top="0.75" bottom="0.75" header="0.3" footer="0.3"/>
  <pageSetup paperSize="9"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>
    <tabColor rgb="FFFF0000"/>
  </sheetPr>
  <dimension ref="A1:H11"/>
  <sheetViews>
    <sheetView showGridLines="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H8" sqref="H8"/>
    </sheetView>
  </sheetViews>
  <sheetFormatPr defaultRowHeight="14.4"/>
  <cols>
    <col min="1" max="1" width="3.44140625" style="1" bestFit="1" customWidth="1"/>
    <col min="2" max="2" width="36.44140625" customWidth="1"/>
    <col min="3" max="3" width="13.109375" style="2" customWidth="1"/>
    <col min="4" max="4" width="23.109375" style="2" customWidth="1"/>
    <col min="5" max="5" width="15.88671875" style="3" customWidth="1"/>
    <col min="6" max="6" width="16.44140625" style="1" customWidth="1"/>
    <col min="7" max="7" width="9" bestFit="1" customWidth="1"/>
    <col min="8" max="8" width="12.5546875" customWidth="1"/>
  </cols>
  <sheetData>
    <row r="1" spans="1:8" ht="28.8">
      <c r="A1" s="19" t="s">
        <v>14</v>
      </c>
      <c r="B1" s="26">
        <f ca="1">NOW()</f>
        <v>43396.820878240738</v>
      </c>
      <c r="C1" s="20" t="s">
        <v>15</v>
      </c>
      <c r="D1" s="20" t="s">
        <v>16</v>
      </c>
      <c r="E1" s="21" t="s">
        <v>17</v>
      </c>
      <c r="F1" s="22" t="s">
        <v>18</v>
      </c>
      <c r="G1" s="22" t="s">
        <v>19</v>
      </c>
      <c r="H1" s="23" t="s">
        <v>5</v>
      </c>
    </row>
    <row r="2" spans="1:8">
      <c r="A2" s="18">
        <v>1</v>
      </c>
      <c r="B2" s="16" t="s">
        <v>13</v>
      </c>
      <c r="C2" s="17">
        <v>43299</v>
      </c>
      <c r="D2" s="17">
        <v>43320</v>
      </c>
      <c r="E2" s="24">
        <f>D2-C2</f>
        <v>21</v>
      </c>
      <c r="F2" s="18"/>
      <c r="G2" s="15"/>
      <c r="H2" s="15"/>
    </row>
    <row r="3" spans="1:8">
      <c r="A3" s="18">
        <v>2</v>
      </c>
      <c r="B3" s="15" t="s">
        <v>20</v>
      </c>
      <c r="C3" s="17">
        <v>43315</v>
      </c>
      <c r="D3" s="25"/>
      <c r="E3" s="24"/>
      <c r="F3" s="18"/>
      <c r="G3" s="15"/>
      <c r="H3" s="15"/>
    </row>
    <row r="4" spans="1:8">
      <c r="A4" s="4">
        <v>3</v>
      </c>
      <c r="B4" s="6" t="s">
        <v>6</v>
      </c>
      <c r="C4" s="9"/>
      <c r="D4" s="9">
        <v>40941</v>
      </c>
      <c r="E4" s="10">
        <f t="shared" ref="E4:E10" ca="1" si="0">D4-NOW()</f>
        <v>-2455.8208782407382</v>
      </c>
      <c r="F4" s="4"/>
      <c r="G4" s="6"/>
      <c r="H4" s="6"/>
    </row>
    <row r="5" spans="1:8">
      <c r="A5" s="4">
        <v>4</v>
      </c>
      <c r="B5" s="6" t="s">
        <v>8</v>
      </c>
      <c r="C5" s="9"/>
      <c r="D5" s="9">
        <v>40919</v>
      </c>
      <c r="E5" s="10">
        <f t="shared" ca="1" si="0"/>
        <v>-2477.8208782407382</v>
      </c>
      <c r="F5" s="4"/>
      <c r="G5" s="6"/>
      <c r="H5" s="6"/>
    </row>
    <row r="6" spans="1:8">
      <c r="A6" s="4">
        <v>5</v>
      </c>
      <c r="B6" s="6" t="s">
        <v>6</v>
      </c>
      <c r="C6" s="9"/>
      <c r="D6" s="9">
        <v>40941</v>
      </c>
      <c r="E6" s="10">
        <f t="shared" ca="1" si="0"/>
        <v>-2455.8208782407382</v>
      </c>
      <c r="F6" s="4"/>
      <c r="G6" s="6"/>
      <c r="H6" s="6"/>
    </row>
    <row r="7" spans="1:8">
      <c r="A7" s="4">
        <v>6</v>
      </c>
      <c r="B7" s="6" t="s">
        <v>9</v>
      </c>
      <c r="C7" s="9"/>
      <c r="D7" s="9">
        <v>40926</v>
      </c>
      <c r="E7" s="10">
        <f t="shared" ca="1" si="0"/>
        <v>-2470.8208782407382</v>
      </c>
      <c r="F7" s="4"/>
      <c r="G7" s="6"/>
      <c r="H7" s="6"/>
    </row>
    <row r="8" spans="1:8">
      <c r="A8" s="4">
        <v>7</v>
      </c>
      <c r="B8" s="6" t="s">
        <v>7</v>
      </c>
      <c r="C8" s="9"/>
      <c r="D8" s="9">
        <v>40946</v>
      </c>
      <c r="E8" s="10">
        <f t="shared" ca="1" si="0"/>
        <v>-2450.8208782407382</v>
      </c>
      <c r="F8" s="4"/>
      <c r="G8" s="6"/>
      <c r="H8" s="6"/>
    </row>
    <row r="9" spans="1:8">
      <c r="A9" s="4">
        <v>8</v>
      </c>
      <c r="B9" s="6" t="s">
        <v>6</v>
      </c>
      <c r="C9" s="9"/>
      <c r="D9" s="9">
        <v>40941</v>
      </c>
      <c r="E9" s="10">
        <f t="shared" ca="1" si="0"/>
        <v>-2455.8208782407382</v>
      </c>
      <c r="F9" s="4"/>
      <c r="G9" s="6"/>
      <c r="H9" s="6"/>
    </row>
    <row r="10" spans="1:8">
      <c r="A10" s="4">
        <v>9</v>
      </c>
      <c r="B10" s="6" t="s">
        <v>6</v>
      </c>
      <c r="C10" s="9"/>
      <c r="D10" s="9">
        <v>40941</v>
      </c>
      <c r="E10" s="10">
        <f t="shared" ca="1" si="0"/>
        <v>-2455.8208782407382</v>
      </c>
      <c r="F10" s="4"/>
      <c r="G10" s="6"/>
      <c r="H10" s="6"/>
    </row>
    <row r="11" spans="1:8">
      <c r="A11" s="1">
        <v>10</v>
      </c>
    </row>
  </sheetData>
  <sortState ref="A2:I15">
    <sortCondition ref="D2:D15"/>
  </sortState>
  <phoneticPr fontId="1" type="noConversion"/>
  <dataValidations count="1">
    <dataValidation type="list" allowBlank="1" showInputMessage="1" showErrorMessage="1" sqref="G1:G1048576">
      <formula1>"ok"</formula1>
    </dataValidation>
  </dataValidations>
  <pageMargins left="0.7" right="0.7" top="0.75" bottom="0.75" header="0.3" footer="0.3"/>
  <pageSetup paperSize="9" orientation="portrait" horizontalDpi="200" verticalDpi="200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H40"/>
  <sheetViews>
    <sheetView showGridLines="0" tabSelected="1" zoomScale="90" zoomScaleNormal="90" workbookViewId="0">
      <pane xSplit="1" ySplit="1" topLeftCell="B26" activePane="bottomRight" state="frozen"/>
      <selection pane="topRight" activeCell="B1" sqref="B1"/>
      <selection pane="bottomLeft" activeCell="A2" sqref="A2"/>
      <selection pane="bottomRight" activeCell="D42" sqref="D42"/>
    </sheetView>
  </sheetViews>
  <sheetFormatPr defaultRowHeight="14.4"/>
  <cols>
    <col min="1" max="1" width="5.88671875" style="28" customWidth="1"/>
    <col min="2" max="2" width="15.88671875" style="66" customWidth="1"/>
    <col min="3" max="3" width="15.88671875" style="28" customWidth="1"/>
    <col min="4" max="4" width="28.109375" style="70" customWidth="1"/>
    <col min="5" max="5" width="17.6640625" style="30" customWidth="1"/>
    <col min="6" max="6" width="29" style="30" customWidth="1"/>
    <col min="7" max="7" width="17.6640625" style="30" customWidth="1"/>
    <col min="8" max="16384" width="8.88671875" style="27"/>
  </cols>
  <sheetData>
    <row r="1" spans="1:8" ht="15.6">
      <c r="A1" s="59" t="s">
        <v>22</v>
      </c>
      <c r="B1" s="57" t="s">
        <v>23</v>
      </c>
      <c r="C1" s="59" t="s">
        <v>24</v>
      </c>
      <c r="D1" s="58" t="s">
        <v>72</v>
      </c>
      <c r="E1" s="60" t="s">
        <v>74</v>
      </c>
      <c r="F1" s="60" t="s">
        <v>73</v>
      </c>
      <c r="G1" s="60" t="s">
        <v>75</v>
      </c>
    </row>
    <row r="2" spans="1:8">
      <c r="A2" s="31" t="s">
        <v>69</v>
      </c>
      <c r="B2" s="32" t="s">
        <v>67</v>
      </c>
      <c r="C2" s="32"/>
      <c r="D2" s="33" t="s">
        <v>66</v>
      </c>
      <c r="E2" s="33"/>
      <c r="F2" s="33"/>
      <c r="G2" s="33"/>
    </row>
    <row r="3" spans="1:8">
      <c r="A3" s="34" t="s">
        <v>68</v>
      </c>
      <c r="B3" s="34" t="s">
        <v>25</v>
      </c>
      <c r="C3" s="34" t="s">
        <v>26</v>
      </c>
      <c r="D3" s="35"/>
      <c r="E3" s="35"/>
      <c r="F3" s="35"/>
      <c r="G3" s="35"/>
    </row>
    <row r="4" spans="1:8">
      <c r="A4" s="36"/>
      <c r="B4" s="36" t="s">
        <v>27</v>
      </c>
      <c r="C4" s="36"/>
      <c r="D4" s="37"/>
      <c r="E4" s="37"/>
      <c r="F4" s="37"/>
      <c r="G4" s="37"/>
    </row>
    <row r="5" spans="1:8">
      <c r="A5" s="36"/>
      <c r="B5" s="36" t="s">
        <v>28</v>
      </c>
      <c r="C5" s="36"/>
      <c r="D5" s="37"/>
      <c r="E5" s="37"/>
      <c r="F5" s="37"/>
      <c r="G5" s="37"/>
    </row>
    <row r="6" spans="1:8">
      <c r="A6" s="38"/>
      <c r="B6" s="38" t="s">
        <v>29</v>
      </c>
      <c r="C6" s="38"/>
      <c r="D6" s="39"/>
      <c r="E6" s="39"/>
      <c r="F6" s="39"/>
      <c r="G6" s="39"/>
    </row>
    <row r="7" spans="1:8">
      <c r="A7" s="34" t="s">
        <v>30</v>
      </c>
      <c r="B7" s="40" t="s">
        <v>61</v>
      </c>
      <c r="C7" s="41" t="s">
        <v>101</v>
      </c>
      <c r="D7" s="51" t="s">
        <v>104</v>
      </c>
      <c r="E7" s="42"/>
      <c r="F7" s="43" t="s">
        <v>61</v>
      </c>
      <c r="G7" s="41"/>
    </row>
    <row r="8" spans="1:8">
      <c r="A8" s="44"/>
      <c r="B8" s="36" t="s">
        <v>31</v>
      </c>
      <c r="C8" s="45" t="s">
        <v>100</v>
      </c>
      <c r="D8" s="68" t="s">
        <v>103</v>
      </c>
      <c r="E8" s="46"/>
      <c r="F8" s="45"/>
      <c r="G8" s="45"/>
      <c r="H8" s="29"/>
    </row>
    <row r="9" spans="1:8">
      <c r="A9" s="47"/>
      <c r="B9" s="48" t="s">
        <v>33</v>
      </c>
      <c r="C9" s="39" t="s">
        <v>32</v>
      </c>
      <c r="D9" s="69"/>
      <c r="E9" s="39"/>
      <c r="F9" s="39"/>
      <c r="G9" s="39"/>
    </row>
    <row r="10" spans="1:8">
      <c r="A10" s="34" t="s">
        <v>34</v>
      </c>
      <c r="B10" s="67" t="s">
        <v>102</v>
      </c>
      <c r="C10" s="34" t="s">
        <v>35</v>
      </c>
      <c r="D10" s="49"/>
      <c r="E10" s="49"/>
      <c r="F10" s="49"/>
      <c r="G10" s="49"/>
    </row>
    <row r="11" spans="1:8">
      <c r="A11" s="38"/>
      <c r="B11" s="71" t="s">
        <v>99</v>
      </c>
      <c r="C11" s="38"/>
      <c r="D11" s="50"/>
      <c r="E11" s="50"/>
      <c r="F11" s="50"/>
      <c r="G11" s="50"/>
    </row>
    <row r="12" spans="1:8">
      <c r="A12" s="34" t="s">
        <v>36</v>
      </c>
      <c r="B12" s="34" t="s">
        <v>37</v>
      </c>
      <c r="C12" s="34" t="s">
        <v>62</v>
      </c>
      <c r="D12" s="49"/>
      <c r="E12" s="49"/>
      <c r="F12" s="49"/>
      <c r="G12" s="49"/>
    </row>
    <row r="13" spans="1:8">
      <c r="A13" s="38"/>
      <c r="B13" s="38"/>
      <c r="C13" s="38" t="s">
        <v>63</v>
      </c>
      <c r="D13" s="50"/>
      <c r="E13" s="50"/>
      <c r="F13" s="50"/>
      <c r="G13" s="50"/>
    </row>
    <row r="14" spans="1:8">
      <c r="A14" s="34" t="s">
        <v>38</v>
      </c>
      <c r="B14" s="34" t="s">
        <v>97</v>
      </c>
      <c r="C14" s="34" t="s">
        <v>64</v>
      </c>
      <c r="D14" s="40" t="s">
        <v>105</v>
      </c>
      <c r="E14" s="61" t="s">
        <v>91</v>
      </c>
      <c r="F14" s="51" t="s">
        <v>111</v>
      </c>
      <c r="G14" s="61" t="s">
        <v>93</v>
      </c>
    </row>
    <row r="15" spans="1:8">
      <c r="A15" s="36"/>
      <c r="B15" s="36" t="s">
        <v>98</v>
      </c>
      <c r="C15" s="36" t="s">
        <v>65</v>
      </c>
      <c r="D15" s="53" t="s">
        <v>76</v>
      </c>
      <c r="E15" s="62" t="s">
        <v>92</v>
      </c>
      <c r="F15" s="45" t="s">
        <v>112</v>
      </c>
      <c r="G15" s="63" t="s">
        <v>77</v>
      </c>
    </row>
    <row r="16" spans="1:8">
      <c r="A16" s="36"/>
      <c r="B16" s="36" t="s">
        <v>39</v>
      </c>
      <c r="C16" s="36"/>
      <c r="D16" s="53" t="s">
        <v>106</v>
      </c>
      <c r="E16" s="45"/>
      <c r="F16" s="45" t="s">
        <v>113</v>
      </c>
      <c r="G16" s="63" t="s">
        <v>94</v>
      </c>
    </row>
    <row r="17" spans="1:7" ht="14.4" customHeight="1">
      <c r="A17" s="38"/>
      <c r="B17" s="64"/>
      <c r="C17" s="38"/>
      <c r="D17" s="38" t="s">
        <v>107</v>
      </c>
      <c r="E17" s="72"/>
      <c r="F17" s="39"/>
      <c r="G17" s="39"/>
    </row>
    <row r="18" spans="1:7" ht="14.4" customHeight="1">
      <c r="A18" s="34" t="s">
        <v>40</v>
      </c>
      <c r="B18" s="40" t="s">
        <v>41</v>
      </c>
      <c r="C18" s="34" t="s">
        <v>43</v>
      </c>
      <c r="D18" s="34" t="s">
        <v>108</v>
      </c>
      <c r="E18" s="73"/>
      <c r="F18" s="51" t="s">
        <v>114</v>
      </c>
      <c r="G18" s="61" t="s">
        <v>78</v>
      </c>
    </row>
    <row r="19" spans="1:7">
      <c r="A19" s="36"/>
      <c r="B19" s="53" t="s">
        <v>42</v>
      </c>
      <c r="C19" s="36"/>
      <c r="D19" s="53" t="s">
        <v>109</v>
      </c>
      <c r="E19" s="45"/>
      <c r="F19" s="45"/>
      <c r="G19" s="45"/>
    </row>
    <row r="20" spans="1:7">
      <c r="A20" s="38"/>
      <c r="B20" s="48"/>
      <c r="C20" s="38"/>
      <c r="D20" s="48" t="s">
        <v>110</v>
      </c>
      <c r="E20" s="39"/>
      <c r="F20" s="39"/>
      <c r="G20" s="39"/>
    </row>
    <row r="21" spans="1:7">
      <c r="A21" s="34" t="s">
        <v>44</v>
      </c>
      <c r="B21" s="34" t="s">
        <v>45</v>
      </c>
      <c r="C21" s="40" t="s">
        <v>46</v>
      </c>
      <c r="D21" s="51" t="s">
        <v>79</v>
      </c>
      <c r="E21" s="61" t="s">
        <v>96</v>
      </c>
      <c r="F21" s="51" t="s">
        <v>85</v>
      </c>
      <c r="G21" s="61" t="s">
        <v>95</v>
      </c>
    </row>
    <row r="22" spans="1:7">
      <c r="A22" s="36"/>
      <c r="B22" s="53" t="s">
        <v>48</v>
      </c>
      <c r="C22" s="53" t="s">
        <v>47</v>
      </c>
      <c r="D22" s="45" t="s">
        <v>80</v>
      </c>
      <c r="E22" s="46"/>
      <c r="F22" s="45" t="s">
        <v>86</v>
      </c>
      <c r="G22" s="45"/>
    </row>
    <row r="23" spans="1:7">
      <c r="A23" s="36"/>
      <c r="B23" s="53" t="s">
        <v>49</v>
      </c>
      <c r="C23" s="53"/>
      <c r="D23" s="45" t="s">
        <v>81</v>
      </c>
      <c r="E23" s="45"/>
      <c r="F23" s="45" t="s">
        <v>87</v>
      </c>
      <c r="G23" s="45"/>
    </row>
    <row r="24" spans="1:7">
      <c r="A24" s="36"/>
      <c r="B24" s="53" t="s">
        <v>50</v>
      </c>
      <c r="C24" s="53"/>
      <c r="D24" s="45" t="s">
        <v>82</v>
      </c>
      <c r="E24" s="45"/>
      <c r="F24" s="45" t="s">
        <v>88</v>
      </c>
      <c r="G24" s="45"/>
    </row>
    <row r="25" spans="1:7">
      <c r="A25" s="36"/>
      <c r="B25" s="36"/>
      <c r="C25" s="53"/>
      <c r="D25" s="45" t="s">
        <v>83</v>
      </c>
      <c r="E25" s="45"/>
      <c r="F25" s="45" t="s">
        <v>89</v>
      </c>
      <c r="G25" s="45"/>
    </row>
    <row r="26" spans="1:7">
      <c r="A26" s="36"/>
      <c r="B26" s="36"/>
      <c r="C26" s="53"/>
      <c r="D26" s="45" t="s">
        <v>84</v>
      </c>
      <c r="E26" s="45"/>
      <c r="F26" s="46"/>
      <c r="G26" s="45"/>
    </row>
    <row r="27" spans="1:7">
      <c r="A27" s="38"/>
      <c r="B27" s="38"/>
      <c r="C27" s="48"/>
      <c r="D27" s="39" t="s">
        <v>90</v>
      </c>
      <c r="E27" s="39"/>
      <c r="F27" s="39"/>
      <c r="G27" s="39"/>
    </row>
    <row r="28" spans="1:7">
      <c r="A28" s="34" t="s">
        <v>51</v>
      </c>
      <c r="B28" s="34" t="s">
        <v>52</v>
      </c>
      <c r="C28" s="34" t="s">
        <v>53</v>
      </c>
      <c r="D28" s="34" t="s">
        <v>57</v>
      </c>
      <c r="E28" s="54"/>
      <c r="F28" s="42"/>
      <c r="G28" s="54"/>
    </row>
    <row r="29" spans="1:7">
      <c r="A29" s="36"/>
      <c r="B29" s="36" t="s">
        <v>54</v>
      </c>
      <c r="C29" s="36" t="s">
        <v>55</v>
      </c>
      <c r="D29" s="36" t="s">
        <v>71</v>
      </c>
      <c r="E29" s="55"/>
      <c r="F29" s="55"/>
      <c r="G29" s="55"/>
    </row>
    <row r="30" spans="1:7">
      <c r="A30" s="38"/>
      <c r="B30" s="48" t="s">
        <v>56</v>
      </c>
      <c r="C30" s="38" t="s">
        <v>70</v>
      </c>
      <c r="D30" s="69"/>
      <c r="E30" s="50"/>
      <c r="F30" s="50"/>
      <c r="G30" s="50"/>
    </row>
    <row r="31" spans="1:7">
      <c r="A31" s="34" t="s">
        <v>58</v>
      </c>
      <c r="B31" s="34" t="s">
        <v>59</v>
      </c>
      <c r="C31" s="34" t="s">
        <v>60</v>
      </c>
      <c r="D31" s="54"/>
      <c r="E31" s="54"/>
      <c r="F31" s="54"/>
      <c r="G31" s="54"/>
    </row>
    <row r="32" spans="1:7">
      <c r="A32" s="44"/>
      <c r="B32" s="65"/>
      <c r="C32" s="44"/>
      <c r="D32" s="74"/>
      <c r="E32" s="52"/>
      <c r="F32" s="52"/>
      <c r="G32" s="52"/>
    </row>
    <row r="33" spans="1:7">
      <c r="A33" s="47"/>
      <c r="B33" s="64"/>
      <c r="C33" s="47"/>
      <c r="D33" s="75"/>
      <c r="E33" s="56"/>
      <c r="F33" s="56"/>
      <c r="G33" s="56"/>
    </row>
    <row r="34" spans="1:7">
      <c r="B34" s="76" t="s">
        <v>115</v>
      </c>
      <c r="C34" s="76"/>
      <c r="D34" s="76"/>
      <c r="E34" s="76"/>
      <c r="F34" s="76"/>
      <c r="G34" s="76"/>
    </row>
    <row r="35" spans="1:7">
      <c r="B35" s="76" t="s">
        <v>119</v>
      </c>
      <c r="C35" s="76"/>
      <c r="D35" s="76"/>
      <c r="E35" s="76"/>
      <c r="F35" s="76"/>
      <c r="G35" s="76"/>
    </row>
    <row r="36" spans="1:7">
      <c r="B36" s="76" t="s">
        <v>120</v>
      </c>
      <c r="C36" s="76"/>
      <c r="D36" s="76"/>
      <c r="E36" s="76"/>
      <c r="F36" s="76"/>
      <c r="G36" s="76"/>
    </row>
    <row r="37" spans="1:7">
      <c r="B37" s="76" t="s">
        <v>121</v>
      </c>
      <c r="C37" s="76"/>
      <c r="D37" s="76"/>
      <c r="E37" s="76"/>
      <c r="F37" s="76"/>
      <c r="G37" s="76"/>
    </row>
    <row r="38" spans="1:7">
      <c r="B38" s="77" t="s">
        <v>116</v>
      </c>
      <c r="C38" s="77"/>
      <c r="D38" s="77"/>
      <c r="E38" s="77"/>
      <c r="F38" s="77"/>
      <c r="G38" s="77"/>
    </row>
    <row r="39" spans="1:7">
      <c r="B39" s="76" t="s">
        <v>117</v>
      </c>
      <c r="C39" s="76"/>
      <c r="D39" s="76"/>
      <c r="E39" s="76"/>
      <c r="F39" s="76"/>
      <c r="G39" s="76"/>
    </row>
    <row r="40" spans="1:7">
      <c r="B40" s="76" t="s">
        <v>118</v>
      </c>
      <c r="C40" s="76"/>
      <c r="D40" s="76"/>
      <c r="E40" s="76"/>
      <c r="F40" s="76"/>
      <c r="G40" s="76"/>
    </row>
  </sheetData>
  <mergeCells count="7">
    <mergeCell ref="B38:G38"/>
    <mergeCell ref="B39:G39"/>
    <mergeCell ref="B40:G40"/>
    <mergeCell ref="B36:G36"/>
    <mergeCell ref="B37:G37"/>
    <mergeCell ref="B34:G34"/>
    <mergeCell ref="B35:G35"/>
  </mergeCells>
  <phoneticPr fontId="1" type="noConversion"/>
  <pageMargins left="0.43307086614173229" right="0.27559055118110237" top="0.31496062992125984" bottom="0.28000000000000003" header="0.31496062992125984" footer="0.31496062992125984"/>
  <pageSetup paperSize="9" orientation="landscape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finished</vt:lpstr>
      <vt:lpstr>schedule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wwuhnwu01</cp:lastModifiedBy>
  <cp:lastPrinted>2018-10-23T11:41:34Z</cp:lastPrinted>
  <dcterms:created xsi:type="dcterms:W3CDTF">2006-09-13T11:21:51Z</dcterms:created>
  <dcterms:modified xsi:type="dcterms:W3CDTF">2018-10-23T11:42:07Z</dcterms:modified>
</cp:coreProperties>
</file>